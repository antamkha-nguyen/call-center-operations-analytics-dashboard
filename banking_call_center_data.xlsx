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codeName="ThisWorkbook" hidePivotFieldList="1" defaultThemeVersion="124226"/>
  <mc:AlternateContent xmlns:mc="http://schemas.openxmlformats.org/markup-compatibility/2006">
    <mc:Choice Requires="x15">
      <x15ac:absPath xmlns:x15ac="http://schemas.microsoft.com/office/spreadsheetml/2010/11/ac" url="/Users/nguyenkha/Desktop/Projects/Tableau Projects/"/>
    </mc:Choice>
  </mc:AlternateContent>
  <xr:revisionPtr revIDLastSave="0" documentId="13_ncr:1_{2DBE4F7C-3175-EC44-B6F1-1047B2257548}" xr6:coauthVersionLast="47" xr6:coauthVersionMax="47" xr10:uidLastSave="{00000000-0000-0000-0000-000000000000}"/>
  <bookViews>
    <workbookView xWindow="0" yWindow="500" windowWidth="28800" windowHeight="16000" xr2:uid="{00000000-000D-0000-FFFF-FFFF00000000}"/>
  </bookViews>
  <sheets>
    <sheet name="Call Data" sheetId="1" r:id="rId1"/>
    <sheet name="Pivot Summary" sheetId="7" r:id="rId2"/>
    <sheet name="Interactive Charts" sheetId="9" r:id="rId3"/>
  </sheets>
  <definedNames>
    <definedName name="Slicer_Call_Hour">#N/A</definedName>
    <definedName name="Slicer_Call_Type">#N/A</definedName>
    <definedName name="Slicer_Channel">#N/A</definedName>
    <definedName name="Slicer_Customer_Segment">#N/A</definedName>
    <definedName name="Slicer_Department">#N/A</definedName>
    <definedName name="Slicer_Escalated">#N/A</definedName>
    <definedName name="Slicer_Resolved">#N/A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9" l="1"/>
  <c r="B2" i="9"/>
  <c r="B3" i="9"/>
  <c r="B4" i="9"/>
  <c r="B5" i="9"/>
  <c r="H19" i="7"/>
  <c r="H20" i="7"/>
  <c r="H21" i="7"/>
  <c r="H22" i="7"/>
  <c r="H23" i="7"/>
  <c r="H24" i="7"/>
  <c r="H25" i="7"/>
  <c r="H26" i="7"/>
  <c r="H27" i="7"/>
  <c r="H28" i="7"/>
  <c r="H29" i="7"/>
  <c r="H18" i="7"/>
  <c r="G19" i="7"/>
  <c r="G20" i="7"/>
  <c r="G21" i="7"/>
  <c r="G22" i="7"/>
  <c r="G23" i="7"/>
  <c r="G24" i="7"/>
  <c r="G25" i="7"/>
  <c r="G26" i="7"/>
  <c r="G27" i="7"/>
  <c r="G28" i="7"/>
  <c r="G29" i="7"/>
  <c r="G18" i="7"/>
  <c r="H13" i="7"/>
  <c r="H14" i="7"/>
  <c r="H12" i="7"/>
  <c r="G13" i="7"/>
  <c r="G14" i="7"/>
  <c r="G12" i="7"/>
  <c r="H6" i="7"/>
  <c r="E3" i="9" s="1"/>
  <c r="H7" i="7"/>
  <c r="E4" i="9" s="1"/>
  <c r="H8" i="7"/>
  <c r="E5" i="9" s="1"/>
  <c r="H5" i="7"/>
  <c r="E2" i="9" s="1"/>
  <c r="G6" i="7"/>
  <c r="D3" i="9" s="1"/>
  <c r="G7" i="7"/>
  <c r="D4" i="9" s="1"/>
  <c r="G8" i="7"/>
  <c r="D5" i="9" s="1"/>
  <c r="G5" i="7"/>
  <c r="D2" i="9"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 r="C2" i="9"/>
  <c r="C3" i="9"/>
  <c r="C4" i="9"/>
  <c r="C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J1" authorId="0" shapeId="0" xr:uid="{7FDBCFE9-FDEB-3241-8F3E-55A3F685E1E6}">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
</t>
        </r>
        <r>
          <rPr>
            <sz val="10"/>
            <color rgb="FF000000"/>
            <rFont val="Calibri"/>
            <family val="2"/>
            <scheme val="minor"/>
          </rPr>
          <t xml:space="preserve">  Customer Service Representative ID"</t>
        </r>
      </text>
    </comment>
    <comment ref="L1" authorId="0" shapeId="0" xr:uid="{90D0500F-10E8-984B-95B0-7C437F160640}">
      <text>
        <r>
          <rPr>
            <b/>
            <sz val="10"/>
            <color rgb="FF000000"/>
            <rFont val="Tahoma"/>
            <family val="2"/>
          </rPr>
          <t xml:space="preserve">Microsoft Office User:
</t>
        </r>
        <r>
          <rPr>
            <sz val="10"/>
            <color rgb="FF000000"/>
            <rFont val="Tahoma"/>
            <family val="2"/>
          </rPr>
          <t xml:space="preserve">Call Hour represents the time of day (in 24-hour format)
</t>
        </r>
        <r>
          <rPr>
            <sz val="10"/>
            <color rgb="FF000000"/>
            <rFont val="Tahoma"/>
            <family val="2"/>
          </rPr>
          <t xml:space="preserve">when the call occurred. Range: 8 = 8 AM to 19 = 7 PM.
</t>
        </r>
        <r>
          <rPr>
            <sz val="10"/>
            <color rgb="FF000000"/>
            <rFont val="Tahoma"/>
            <family val="2"/>
          </rPr>
          <t xml:space="preserve">
</t>
        </r>
        <r>
          <rPr>
            <sz val="10"/>
            <color rgb="FF000000"/>
            <rFont val="Tahoma"/>
            <family val="2"/>
          </rPr>
          <t xml:space="preserve">
</t>
        </r>
      </text>
    </comment>
  </commentList>
</comments>
</file>

<file path=xl/sharedStrings.xml><?xml version="1.0" encoding="utf-8"?>
<sst xmlns="http://schemas.openxmlformats.org/spreadsheetml/2006/main" count="2446" uniqueCount="58">
  <si>
    <t>Call ID</t>
  </si>
  <si>
    <t>Department</t>
  </si>
  <si>
    <t>Duration (min)</t>
  </si>
  <si>
    <t>Escalated</t>
  </si>
  <si>
    <t>Resolved</t>
  </si>
  <si>
    <t>Call Type</t>
  </si>
  <si>
    <t>Customer Segment</t>
  </si>
  <si>
    <t>Repeat Caller</t>
  </si>
  <si>
    <t>Satisfaction Score</t>
  </si>
  <si>
    <t>CSR ID</t>
  </si>
  <si>
    <t>Channel</t>
  </si>
  <si>
    <t>Call Hour</t>
  </si>
  <si>
    <t>Fraud</t>
  </si>
  <si>
    <t>Card Services</t>
  </si>
  <si>
    <t>Loans</t>
  </si>
  <si>
    <t>Payments</t>
  </si>
  <si>
    <t>No</t>
  </si>
  <si>
    <t>Yes</t>
  </si>
  <si>
    <t>Inquiry</t>
  </si>
  <si>
    <t>Complaint</t>
  </si>
  <si>
    <t>Fraud Report</t>
  </si>
  <si>
    <t>Transaction</t>
  </si>
  <si>
    <t>Business</t>
  </si>
  <si>
    <t>Retail</t>
  </si>
  <si>
    <t>Wealth</t>
  </si>
  <si>
    <t>CSR018</t>
  </si>
  <si>
    <t>CSR007</t>
  </si>
  <si>
    <t>CSR002</t>
  </si>
  <si>
    <t>CSR008</t>
  </si>
  <si>
    <t>CSR013</t>
  </si>
  <si>
    <t>CSR010</t>
  </si>
  <si>
    <t>CSR001</t>
  </si>
  <si>
    <t>CSR011</t>
  </si>
  <si>
    <t>CSR005</t>
  </si>
  <si>
    <t>CSR014</t>
  </si>
  <si>
    <t>CSR009</t>
  </si>
  <si>
    <t>CSR020</t>
  </si>
  <si>
    <t>CSR019</t>
  </si>
  <si>
    <t>CSR017</t>
  </si>
  <si>
    <t>CSR006</t>
  </si>
  <si>
    <t>CSR003</t>
  </si>
  <si>
    <t>CSR012</t>
  </si>
  <si>
    <t>CSR015</t>
  </si>
  <si>
    <t>CSR004</t>
  </si>
  <si>
    <t>CSR016</t>
  </si>
  <si>
    <t>Branch</t>
  </si>
  <si>
    <t>Phone</t>
  </si>
  <si>
    <t>App</t>
  </si>
  <si>
    <t>Grand Total</t>
  </si>
  <si>
    <t>Total Calls</t>
  </si>
  <si>
    <t>Escalated Calls</t>
  </si>
  <si>
    <t>Escalated Flag</t>
  </si>
  <si>
    <t>Resolved Flag</t>
  </si>
  <si>
    <t>Resolved Calls</t>
  </si>
  <si>
    <t>% Escalated</t>
  </si>
  <si>
    <t>% Resolved</t>
  </si>
  <si>
    <t>Avg Satisfaction Score</t>
  </si>
  <si>
    <t>Satisfaction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</si>
</sst>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sz val="10"/>
      <color rgb="FF000000"/>
      <name val="Tahoma"/>
      <family val="2"/>
    </font>
    <font>
      <b/>
      <sz val="10"/>
      <color rgb="FF000000"/>
      <name val="Tahoma"/>
      <family val="2"/>
    </font>
    <font>
      <sz val="11"/>
      <color theme="1"/>
      <name val="Calibri"/>
      <family val="2"/>
      <scheme val="minor"/>
    </font>
    <font>
      <b/>
      <sz val="12"/>
      <color theme="1"/>
      <name val="Calibri"/>
      <family val="2"/>
      <scheme val="minor"/>
    </font>
    <font>
      <sz val="15"/>
      <color theme="1"/>
      <name val="Calibri"/>
      <family val="2"/>
      <scheme val="minor"/>
    </font>
    <font>
      <b/>
      <sz val="15"/>
      <color theme="1"/>
      <name val="Calibri"/>
      <family val="2"/>
      <scheme val="minor"/>
    </font>
    <font>
      <sz val="15"/>
      <color rgb="FF0070C0"/>
      <name val="Calibri"/>
      <family val="2"/>
      <scheme val="minor"/>
    </font>
    <font>
      <b/>
      <sz val="15"/>
      <color theme="0"/>
      <name val="Calibri"/>
      <family val="2"/>
      <scheme val="minor"/>
    </font>
    <font>
      <sz val="15"/>
      <color theme="0"/>
      <name val="Calibri"/>
      <family val="2"/>
      <scheme val="minor"/>
    </font>
    <font>
      <sz val="20"/>
      <color rgb="FF0070C0"/>
      <name val="Calibri"/>
      <family val="2"/>
      <scheme val="minor"/>
    </font>
    <font>
      <sz val="20"/>
      <color rgb="FFFF0000"/>
      <name val="Calibri"/>
      <family val="2"/>
      <scheme val="minor"/>
    </font>
    <font>
      <sz val="20"/>
      <color rgb="FF00B050"/>
      <name val="Calibri"/>
      <family val="2"/>
      <scheme val="minor"/>
    </font>
    <font>
      <sz val="20"/>
      <color theme="1"/>
      <name val="Calibri"/>
      <family val="2"/>
      <scheme val="minor"/>
    </font>
    <font>
      <b/>
      <sz val="20"/>
      <color theme="1"/>
      <name val="Calibri"/>
      <family val="2"/>
      <scheme val="minor"/>
    </font>
    <font>
      <b/>
      <sz val="20"/>
      <color rgb="FFFF0000"/>
      <name val="Calibri"/>
      <family val="2"/>
      <scheme val="minor"/>
    </font>
    <font>
      <b/>
      <sz val="20"/>
      <color rgb="FF00B050"/>
      <name val="Calibri"/>
      <family val="2"/>
      <scheme val="minor"/>
    </font>
    <font>
      <sz val="10"/>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9" fontId="6" fillId="0" borderId="0" xfId="1" applyFont="1"/>
    <xf numFmtId="0" fontId="6" fillId="0" borderId="0" xfId="0" applyFont="1"/>
    <xf numFmtId="0" fontId="7" fillId="0" borderId="0" xfId="0" applyFont="1"/>
    <xf numFmtId="0" fontId="5" fillId="0" borderId="1" xfId="0" applyFont="1" applyBorder="1" applyAlignment="1">
      <alignment horizontal="center" vertical="top"/>
    </xf>
    <xf numFmtId="0" fontId="5" fillId="0" borderId="0" xfId="0" applyFont="1"/>
    <xf numFmtId="0" fontId="8" fillId="0" borderId="0" xfId="0" applyFont="1"/>
    <xf numFmtId="0" fontId="9" fillId="0" borderId="0" xfId="0" applyFont="1"/>
    <xf numFmtId="0" fontId="10" fillId="0" borderId="0" xfId="0" applyFont="1" applyAlignment="1">
      <alignment wrapText="1"/>
    </xf>
    <xf numFmtId="10" fontId="10" fillId="0" borderId="0" xfId="1" applyNumberFormat="1" applyFont="1"/>
    <xf numFmtId="10" fontId="10" fillId="0" borderId="0" xfId="0" applyNumberFormat="1" applyFont="1"/>
    <xf numFmtId="0" fontId="10" fillId="0" borderId="0" xfId="0" applyFont="1"/>
    <xf numFmtId="0" fontId="14" fillId="0" borderId="0" xfId="0" applyFont="1"/>
    <xf numFmtId="0" fontId="15" fillId="0" borderId="0" xfId="0" applyFont="1"/>
    <xf numFmtId="9" fontId="14" fillId="0" borderId="0" xfId="1" applyFont="1"/>
    <xf numFmtId="9" fontId="15" fillId="0" borderId="0" xfId="1" applyFont="1"/>
    <xf numFmtId="0" fontId="12" fillId="0" borderId="0" xfId="0" applyFont="1" applyAlignment="1">
      <alignment shrinkToFit="1"/>
    </xf>
    <xf numFmtId="0" fontId="13" fillId="0" borderId="0" xfId="0" applyFont="1" applyAlignment="1">
      <alignment shrinkToFit="1"/>
    </xf>
    <xf numFmtId="0" fontId="14" fillId="0" borderId="0" xfId="0" applyFont="1" applyAlignment="1">
      <alignment shrinkToFit="1"/>
    </xf>
    <xf numFmtId="0" fontId="11" fillId="0" borderId="0" xfId="0" applyFont="1"/>
    <xf numFmtId="0" fontId="12" fillId="0" borderId="2" xfId="0" applyFont="1" applyBorder="1" applyAlignment="1">
      <alignment shrinkToFit="1"/>
    </xf>
    <xf numFmtId="0" fontId="13" fillId="0" borderId="2" xfId="0" applyFont="1" applyBorder="1" applyAlignment="1">
      <alignment shrinkToFit="1"/>
    </xf>
    <xf numFmtId="0" fontId="14" fillId="0" borderId="2" xfId="0" applyFont="1" applyBorder="1" applyAlignment="1">
      <alignment shrinkToFit="1"/>
    </xf>
    <xf numFmtId="2" fontId="14" fillId="0" borderId="2" xfId="0" applyNumberFormat="1" applyFont="1" applyBorder="1" applyAlignment="1">
      <alignment shrinkToFit="1"/>
    </xf>
    <xf numFmtId="0" fontId="12" fillId="0" borderId="2" xfId="0" applyFont="1" applyBorder="1" applyAlignment="1">
      <alignment horizontal="center" shrinkToFit="1"/>
    </xf>
    <xf numFmtId="0" fontId="13" fillId="0" borderId="2" xfId="0" applyFont="1" applyBorder="1" applyAlignment="1">
      <alignment horizontal="center" shrinkToFit="1"/>
    </xf>
    <xf numFmtId="0" fontId="14" fillId="0" borderId="2" xfId="0" applyFont="1" applyBorder="1" applyAlignment="1">
      <alignment horizontal="center" shrinkToFit="1"/>
    </xf>
    <xf numFmtId="10" fontId="13" fillId="0" borderId="0" xfId="1" applyNumberFormat="1" applyFont="1"/>
    <xf numFmtId="10" fontId="16" fillId="0" borderId="0" xfId="1" applyNumberFormat="1" applyFont="1"/>
    <xf numFmtId="10" fontId="12" fillId="0" borderId="0" xfId="1" applyNumberFormat="1" applyFont="1"/>
    <xf numFmtId="10" fontId="14" fillId="0" borderId="0" xfId="1" applyNumberFormat="1" applyFont="1"/>
    <xf numFmtId="10" fontId="17" fillId="0" borderId="0" xfId="1" applyNumberFormat="1" applyFont="1"/>
    <xf numFmtId="0" fontId="11" fillId="0" borderId="2" xfId="0" pivotButton="1" applyFont="1" applyBorder="1" applyAlignment="1">
      <alignment horizontal="center"/>
    </xf>
    <xf numFmtId="0" fontId="11" fillId="0" borderId="2" xfId="0" applyFont="1" applyBorder="1" applyAlignment="1">
      <alignment horizontal="left"/>
    </xf>
    <xf numFmtId="0" fontId="11" fillId="0" borderId="2" xfId="0" pivotButton="1" applyFont="1" applyBorder="1"/>
    <xf numFmtId="0" fontId="11" fillId="0" borderId="2" xfId="0" pivotButton="1" applyFont="1" applyBorder="1" applyAlignment="1" applyProtection="1"/>
    <xf numFmtId="0" fontId="11" fillId="0" borderId="2" xfId="0" applyFont="1" applyBorder="1" applyAlignment="1" applyProtection="1">
      <alignment horizontal="left"/>
    </xf>
    <xf numFmtId="0" fontId="12" fillId="0" borderId="2" xfId="0" applyNumberFormat="1" applyFont="1" applyBorder="1" applyAlignment="1">
      <alignment shrinkToFit="1"/>
    </xf>
    <xf numFmtId="0" fontId="13" fillId="0" borderId="2" xfId="0" applyNumberFormat="1" applyFont="1" applyBorder="1" applyAlignment="1">
      <alignment shrinkToFit="1"/>
    </xf>
    <xf numFmtId="0" fontId="14" fillId="0" borderId="2" xfId="0" applyNumberFormat="1" applyFont="1" applyBorder="1" applyAlignment="1">
      <alignment shrinkToFit="1"/>
    </xf>
    <xf numFmtId="0" fontId="1" fillId="0" borderId="0" xfId="0" applyFont="1" applyProtection="1">
      <protection locked="0"/>
    </xf>
  </cellXfs>
  <cellStyles count="2">
    <cellStyle name="Normal" xfId="0" builtinId="0"/>
    <cellStyle name="Percent" xfId="1" builtinId="5"/>
  </cellStyles>
  <dxfs count="192">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numFmt numFmtId="0" formatCode="General"/>
      <protection locked="0" hidden="0"/>
    </dxf>
    <dxf>
      <font>
        <strike val="0"/>
        <outline val="0"/>
        <shadow val="0"/>
        <u val="none"/>
        <vertAlign val="baseline"/>
        <sz val="12"/>
        <color theme="1"/>
        <name val="Calibri"/>
        <family val="2"/>
        <scheme val="minor"/>
      </font>
      <numFmt numFmtId="0" formatCode="General"/>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strike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border outline="0">
        <bottom style="thin">
          <color auto="1"/>
        </bottom>
      </border>
    </dxf>
    <dxf>
      <border outline="0">
        <top style="thin">
          <color auto="1"/>
        </top>
      </border>
    </dxf>
    <dxf>
      <font>
        <b/>
        <i val="0"/>
        <strike val="0"/>
        <condense val="0"/>
        <extend val="0"/>
        <outline val="0"/>
        <shadow val="0"/>
        <u val="none"/>
        <vertAlign val="baseline"/>
        <sz val="12"/>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0070C0"/>
      </font>
    </dxf>
    <dxf>
      <font>
        <color rgb="FF0070C0"/>
      </font>
    </dxf>
    <dxf>
      <font>
        <color rgb="FF0070C0"/>
      </font>
    </dxf>
    <dxf>
      <font>
        <color rgb="FFFF0000"/>
      </font>
    </dxf>
    <dxf>
      <font>
        <color rgb="FFFF0000"/>
      </font>
    </dxf>
    <dxf>
      <font>
        <color rgb="FF00B050"/>
      </font>
    </dxf>
    <dxf>
      <font>
        <color rgb="FF00B050"/>
      </font>
    </dxf>
    <dxf>
      <font>
        <sz val="20"/>
      </font>
    </dxf>
    <dxf>
      <font>
        <sz val="20"/>
      </font>
    </dxf>
    <dxf>
      <font>
        <sz val="20"/>
      </font>
    </dxf>
    <dxf>
      <font>
        <sz val="20"/>
      </font>
    </dxf>
    <dxf>
      <font>
        <sz val="20"/>
      </font>
    </dxf>
    <dxf>
      <font>
        <sz val="20"/>
      </font>
    </dxf>
    <dxf>
      <alignment shrinkToFit="1"/>
    </dxf>
    <dxf>
      <alignment shrinkToFit="1"/>
    </dxf>
    <dxf>
      <alignment shrinkToFit="1"/>
    </dxf>
    <dxf>
      <alignment shrinkToFit="1"/>
    </dxf>
    <dxf>
      <alignment shrinkToFit="1"/>
    </dxf>
    <dxf>
      <alignment shrinkToFit="1"/>
    </dxf>
    <dxf>
      <alignment shrinkToFit="0"/>
      <protection locked="0"/>
    </dxf>
    <dxf>
      <alignment shrinkToFit="0"/>
      <protection locked="0"/>
    </dxf>
    <dxf>
      <alignment shrinkToFit="0"/>
      <protection locked="0"/>
    </dxf>
    <dxf>
      <protection locked="1"/>
    </dxf>
    <dxf>
      <protection locked="1"/>
    </dxf>
    <dxf>
      <protection locked="1"/>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color rgb="FF0070C0"/>
      </font>
    </dxf>
    <dxf>
      <font>
        <color rgb="FF0070C0"/>
      </font>
    </dxf>
    <dxf>
      <font>
        <color rgb="FF0070C0"/>
      </font>
    </dxf>
    <dxf>
      <font>
        <color rgb="FFFF0000"/>
      </font>
    </dxf>
    <dxf>
      <font>
        <color rgb="FFFF0000"/>
      </font>
    </dxf>
    <dxf>
      <font>
        <color rgb="FF00B050"/>
      </font>
    </dxf>
    <dxf>
      <font>
        <color rgb="FF00B050"/>
      </font>
    </dxf>
    <dxf>
      <font>
        <sz val="20"/>
      </font>
    </dxf>
    <dxf>
      <font>
        <sz val="20"/>
      </font>
    </dxf>
    <dxf>
      <font>
        <sz val="20"/>
      </font>
    </dxf>
    <dxf>
      <font>
        <sz val="20"/>
      </font>
    </dxf>
    <dxf>
      <font>
        <sz val="20"/>
      </font>
    </dxf>
    <dxf>
      <font>
        <sz val="20"/>
      </font>
    </dxf>
    <dxf>
      <alignment shrinkToFit="1"/>
    </dxf>
    <dxf>
      <alignment shrinkToFit="1"/>
    </dxf>
    <dxf>
      <alignment shrinkToFit="1"/>
    </dxf>
    <dxf>
      <alignment shrinkToFit="1"/>
    </dxf>
    <dxf>
      <alignment shrinkToFit="1"/>
    </dxf>
    <dxf>
      <alignment shrinkToFit="1"/>
    </dxf>
    <dxf>
      <alignment shrinkToFit="0"/>
      <protection locked="0"/>
    </dxf>
    <dxf>
      <alignment shrinkToFit="0"/>
      <protection locked="0"/>
    </dxf>
    <dxf>
      <alignment shrinkToFit="0"/>
      <protection locked="0"/>
    </dxf>
    <dxf>
      <protection locked="1"/>
    </dxf>
    <dxf>
      <protection locked="1"/>
    </dxf>
    <dxf>
      <protection locked="1"/>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protection locked="1"/>
    </dxf>
    <dxf>
      <protection locked="1"/>
    </dxf>
    <dxf>
      <protection locked="1"/>
    </dxf>
    <dxf>
      <alignment shrinkToFit="0"/>
      <protection locked="0"/>
    </dxf>
    <dxf>
      <alignment shrinkToFit="0"/>
      <protection locked="0"/>
    </dxf>
    <dxf>
      <alignment shrinkToFit="0"/>
      <protection locked="0"/>
    </dxf>
    <dxf>
      <alignment shrinkToFit="1"/>
    </dxf>
    <dxf>
      <alignment shrinkToFit="1"/>
    </dxf>
    <dxf>
      <alignment shrinkToFit="1"/>
    </dxf>
    <dxf>
      <alignment shrinkToFit="1"/>
    </dxf>
    <dxf>
      <alignment shrinkToFit="1"/>
    </dxf>
    <dxf>
      <alignment shrinkToFit="1"/>
    </dxf>
    <dxf>
      <font>
        <sz val="20"/>
      </font>
    </dxf>
    <dxf>
      <font>
        <sz val="20"/>
      </font>
    </dxf>
    <dxf>
      <font>
        <sz val="20"/>
      </font>
    </dxf>
    <dxf>
      <font>
        <sz val="20"/>
      </font>
    </dxf>
    <dxf>
      <font>
        <sz val="20"/>
      </font>
    </dxf>
    <dxf>
      <font>
        <sz val="20"/>
      </font>
    </dxf>
    <dxf>
      <font>
        <color rgb="FF00B050"/>
      </font>
    </dxf>
    <dxf>
      <font>
        <color rgb="FF00B050"/>
      </font>
    </dxf>
    <dxf>
      <font>
        <color rgb="FFFF0000"/>
      </font>
    </dxf>
    <dxf>
      <font>
        <color rgb="FFFF0000"/>
      </font>
    </dxf>
    <dxf>
      <font>
        <color rgb="FF0070C0"/>
      </font>
    </dxf>
    <dxf>
      <font>
        <color rgb="FF0070C0"/>
      </font>
    </dxf>
    <dxf>
      <font>
        <color rgb="FF0070C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protection locked="1"/>
    </dxf>
    <dxf>
      <protection locked="1"/>
    </dxf>
    <dxf>
      <protection locked="1"/>
    </dxf>
    <dxf>
      <alignment shrinkToFit="0"/>
      <protection locked="0"/>
    </dxf>
    <dxf>
      <alignment shrinkToFit="0"/>
      <protection locked="0"/>
    </dxf>
    <dxf>
      <alignment shrinkToFit="0"/>
      <protection locked="0"/>
    </dxf>
    <dxf>
      <alignment shrinkToFit="1"/>
    </dxf>
    <dxf>
      <alignment shrinkToFit="1"/>
    </dxf>
    <dxf>
      <alignment shrinkToFit="1"/>
    </dxf>
    <dxf>
      <alignment shrinkToFit="1"/>
    </dxf>
    <dxf>
      <alignment shrinkToFit="1"/>
    </dxf>
    <dxf>
      <alignment shrinkToFit="1"/>
    </dxf>
    <dxf>
      <alignment shrinkToFit="1"/>
    </dxf>
    <dxf>
      <alignment shrinkToFit="1"/>
    </dxf>
    <dxf>
      <font>
        <sz val="20"/>
      </font>
    </dxf>
    <dxf>
      <font>
        <sz val="20"/>
      </font>
    </dxf>
    <dxf>
      <font>
        <sz val="20"/>
      </font>
    </dxf>
    <dxf>
      <font>
        <sz val="20"/>
      </font>
    </dxf>
    <dxf>
      <font>
        <sz val="20"/>
      </font>
    </dxf>
    <dxf>
      <font>
        <sz val="20"/>
      </font>
    </dxf>
    <dxf>
      <numFmt numFmtId="2" formatCode="0.00"/>
    </dxf>
    <dxf>
      <font>
        <b val="0"/>
      </font>
    </dxf>
    <dxf>
      <font>
        <b val="0"/>
      </font>
    </dxf>
    <dxf>
      <font>
        <color rgb="FF00B050"/>
      </font>
    </dxf>
    <dxf>
      <font>
        <color rgb="FF00B050"/>
      </font>
    </dxf>
    <dxf>
      <font>
        <color rgb="FFFF0000"/>
      </font>
    </dxf>
    <dxf>
      <font>
        <color rgb="FFFF0000"/>
      </font>
    </dxf>
    <dxf>
      <font>
        <color rgb="FF0070C0"/>
      </font>
    </dxf>
    <dxf>
      <font>
        <color rgb="FF0070C0"/>
      </font>
    </dxf>
    <dxf>
      <font>
        <color rgb="FF0070C0"/>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protection locked="1"/>
    </dxf>
    <dxf>
      <protection locked="1"/>
    </dxf>
    <dxf>
      <protection locked="1"/>
    </dxf>
    <dxf>
      <alignment shrinkToFit="0"/>
      <protection locked="0"/>
    </dxf>
    <dxf>
      <alignment shrinkToFit="0"/>
      <protection locked="0"/>
    </dxf>
    <dxf>
      <alignment shrinkToFit="0"/>
      <protection locked="0"/>
    </dxf>
    <dxf>
      <alignment shrinkToFit="1"/>
    </dxf>
    <dxf>
      <alignment shrinkToFit="1"/>
    </dxf>
    <dxf>
      <alignment shrinkToFit="1"/>
    </dxf>
    <dxf>
      <alignment shrinkToFit="1"/>
    </dxf>
    <dxf>
      <alignment shrinkToFit="1"/>
    </dxf>
    <dxf>
      <alignment shrinkToFit="1"/>
    </dxf>
    <dxf>
      <font>
        <sz val="20"/>
      </font>
    </dxf>
    <dxf>
      <font>
        <sz val="20"/>
      </font>
    </dxf>
    <dxf>
      <font>
        <sz val="20"/>
      </font>
    </dxf>
    <dxf>
      <font>
        <sz val="20"/>
      </font>
    </dxf>
    <dxf>
      <font>
        <sz val="20"/>
      </font>
    </dxf>
    <dxf>
      <font>
        <sz val="20"/>
      </font>
    </dxf>
    <dxf>
      <font>
        <color rgb="FF00B050"/>
      </font>
    </dxf>
    <dxf>
      <font>
        <color rgb="FF00B050"/>
      </font>
    </dxf>
    <dxf>
      <font>
        <color rgb="FFFF0000"/>
      </font>
    </dxf>
    <dxf>
      <font>
        <color rgb="FFFF0000"/>
      </font>
    </dxf>
    <dxf>
      <font>
        <color rgb="FF0070C0"/>
      </font>
    </dxf>
    <dxf>
      <font>
        <color rgb="FF0070C0"/>
      </font>
    </dxf>
    <dxf>
      <font>
        <color rgb="FF0070C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Department Performance Overview</a:t>
            </a:r>
          </a:p>
        </c:rich>
      </c:tx>
      <c:layout>
        <c:manualLayout>
          <c:xMode val="edge"/>
          <c:yMode val="edge"/>
          <c:x val="0.29189416130406448"/>
          <c:y val="2.1783684786111274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481537203562623E-2"/>
          <c:y val="6.0241561605927134E-2"/>
          <c:w val="0.92851846279643735"/>
          <c:h val="0.88823793998460354"/>
        </c:manualLayout>
      </c:layout>
      <c:barChart>
        <c:barDir val="col"/>
        <c:grouping val="clustered"/>
        <c:varyColors val="0"/>
        <c:ser>
          <c:idx val="0"/>
          <c:order val="0"/>
          <c:tx>
            <c:strRef>
              <c:f>'Interactive Charts'!$C$1</c:f>
              <c:strCache>
                <c:ptCount val="1"/>
                <c:pt idx="0">
                  <c:v>Satisfaction Rate</c:v>
                </c:pt>
              </c:strCache>
            </c:strRef>
          </c:tx>
          <c:spPr>
            <a:solidFill>
              <a:schemeClr val="accent1"/>
            </a:solidFill>
            <a:ln>
              <a:noFill/>
            </a:ln>
            <a:effectLst/>
          </c:spPr>
          <c:invertIfNegative val="0"/>
          <c:dLbls>
            <c:dLbl>
              <c:idx val="0"/>
              <c:layout>
                <c:manualLayout>
                  <c:x val="7.463549230305324E-4"/>
                  <c:y val="1.48332954632505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47-4440-ABAF-4962E4AAD62F}"/>
                </c:ext>
              </c:extLst>
            </c:dLbl>
            <c:dLbl>
              <c:idx val="1"/>
              <c:layout>
                <c:manualLayout>
                  <c:x val="-5.5172239469764476E-17"/>
                  <c:y val="2.17264491250594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47-4440-ABAF-4962E4AAD62F}"/>
                </c:ext>
              </c:extLst>
            </c:dLbl>
            <c:dLbl>
              <c:idx val="2"/>
              <c:layout>
                <c:manualLayout>
                  <c:x val="1.5047148224776041E-3"/>
                  <c:y val="2.38551018806172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47-4440-ABAF-4962E4AAD62F}"/>
                </c:ext>
              </c:extLst>
            </c:dLbl>
            <c:dLbl>
              <c:idx val="3"/>
              <c:layout>
                <c:manualLayout>
                  <c:x val="0"/>
                  <c:y val="1.41472040912222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47-4440-ABAF-4962E4AAD62F}"/>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3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Charts'!$B$2:$B$5</c:f>
              <c:strCache>
                <c:ptCount val="4"/>
                <c:pt idx="0">
                  <c:v>Card Services</c:v>
                </c:pt>
                <c:pt idx="1">
                  <c:v>Fraud</c:v>
                </c:pt>
                <c:pt idx="2">
                  <c:v>Loans</c:v>
                </c:pt>
                <c:pt idx="3">
                  <c:v>Payments</c:v>
                </c:pt>
              </c:strCache>
            </c:strRef>
          </c:cat>
          <c:val>
            <c:numRef>
              <c:f>'Interactive Charts'!$C$2:$C$5</c:f>
              <c:numCache>
                <c:formatCode>0.00%</c:formatCode>
                <c:ptCount val="4"/>
                <c:pt idx="0">
                  <c:v>0.72173913043478266</c:v>
                </c:pt>
                <c:pt idx="1">
                  <c:v>0.74712643678160917</c:v>
                </c:pt>
                <c:pt idx="2">
                  <c:v>0.77922077922077926</c:v>
                </c:pt>
                <c:pt idx="3">
                  <c:v>0.74328358208955225</c:v>
                </c:pt>
              </c:numCache>
            </c:numRef>
          </c:val>
          <c:extLst>
            <c:ext xmlns:c16="http://schemas.microsoft.com/office/drawing/2014/chart" uri="{C3380CC4-5D6E-409C-BE32-E72D297353CC}">
              <c16:uniqueId val="{00000000-C11C-5544-9962-E638071334AB}"/>
            </c:ext>
          </c:extLst>
        </c:ser>
        <c:ser>
          <c:idx val="1"/>
          <c:order val="1"/>
          <c:tx>
            <c:strRef>
              <c:f>'Interactive Charts'!$D$1</c:f>
              <c:strCache>
                <c:ptCount val="1"/>
                <c:pt idx="0">
                  <c:v>% Escalated</c:v>
                </c:pt>
              </c:strCache>
            </c:strRef>
          </c:tx>
          <c:spPr>
            <a:solidFill>
              <a:schemeClr val="accent2"/>
            </a:solidFill>
            <a:ln>
              <a:noFill/>
            </a:ln>
            <a:effectLst/>
          </c:spPr>
          <c:invertIfNegative val="0"/>
          <c:dLbls>
            <c:dLbl>
              <c:idx val="0"/>
              <c:layout>
                <c:manualLayout>
                  <c:x val="0"/>
                  <c:y val="1.72635290625614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47-4440-ABAF-4962E4AAD62F}"/>
                </c:ext>
              </c:extLst>
            </c:dLbl>
            <c:dLbl>
              <c:idx val="1"/>
              <c:layout>
                <c:manualLayout>
                  <c:x val="-7.4727069675054525E-4"/>
                  <c:y val="2.00683266356827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47-4440-ABAF-4962E4AAD62F}"/>
                </c:ext>
              </c:extLst>
            </c:dLbl>
            <c:dLbl>
              <c:idx val="2"/>
              <c:layout>
                <c:manualLayout>
                  <c:x val="0"/>
                  <c:y val="1.67595926954246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47-4440-ABAF-4962E4AAD62F}"/>
                </c:ext>
              </c:extLst>
            </c:dLbl>
            <c:dLbl>
              <c:idx val="3"/>
              <c:layout>
                <c:manualLayout>
                  <c:x val="1.5047148224776041E-3"/>
                  <c:y val="2.38551018806172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47-4440-ABAF-4962E4AAD62F}"/>
                </c:ext>
              </c:extLst>
            </c:dLbl>
            <c:spPr>
              <a:solidFill>
                <a:srgbClr val="C00000"/>
              </a:solidFill>
              <a:ln>
                <a:noFill/>
              </a:ln>
              <a:effectLst/>
            </c:spPr>
            <c:txPr>
              <a:bodyPr rot="0" spcFirstLastPara="1" vertOverflow="ellipsis" vert="horz" wrap="square" lIns="38100" tIns="19050" rIns="38100" bIns="19050" anchor="ctr" anchorCtr="1">
                <a:spAutoFit/>
              </a:bodyPr>
              <a:lstStyle/>
              <a:p>
                <a:pPr>
                  <a:defRPr sz="3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Charts'!$B$2:$B$5</c:f>
              <c:strCache>
                <c:ptCount val="4"/>
                <c:pt idx="0">
                  <c:v>Card Services</c:v>
                </c:pt>
                <c:pt idx="1">
                  <c:v>Fraud</c:v>
                </c:pt>
                <c:pt idx="2">
                  <c:v>Loans</c:v>
                </c:pt>
                <c:pt idx="3">
                  <c:v>Payments</c:v>
                </c:pt>
              </c:strCache>
            </c:strRef>
          </c:cat>
          <c:val>
            <c:numRef>
              <c:f>'Interactive Charts'!$D$2:$D$5</c:f>
              <c:numCache>
                <c:formatCode>0.00%</c:formatCode>
                <c:ptCount val="4"/>
                <c:pt idx="0">
                  <c:v>0.13043478260869565</c:v>
                </c:pt>
                <c:pt idx="1">
                  <c:v>0.14942528735632185</c:v>
                </c:pt>
                <c:pt idx="2">
                  <c:v>0.35064935064935066</c:v>
                </c:pt>
                <c:pt idx="3">
                  <c:v>0.16417910447761194</c:v>
                </c:pt>
              </c:numCache>
            </c:numRef>
          </c:val>
          <c:extLst>
            <c:ext xmlns:c16="http://schemas.microsoft.com/office/drawing/2014/chart" uri="{C3380CC4-5D6E-409C-BE32-E72D297353CC}">
              <c16:uniqueId val="{00000001-C11C-5544-9962-E638071334AB}"/>
            </c:ext>
          </c:extLst>
        </c:ser>
        <c:ser>
          <c:idx val="2"/>
          <c:order val="2"/>
          <c:tx>
            <c:strRef>
              <c:f>'Interactive Charts'!$E$1</c:f>
              <c:strCache>
                <c:ptCount val="1"/>
                <c:pt idx="0">
                  <c:v>% Resolved</c:v>
                </c:pt>
              </c:strCache>
            </c:strRef>
          </c:tx>
          <c:spPr>
            <a:solidFill>
              <a:schemeClr val="accent3"/>
            </a:solidFill>
            <a:ln>
              <a:noFill/>
            </a:ln>
            <a:effectLst/>
          </c:spPr>
          <c:invertIfNegative val="0"/>
          <c:dLbls>
            <c:dLbl>
              <c:idx val="0"/>
              <c:layout>
                <c:manualLayout>
                  <c:x val="-2.7586119734882238E-17"/>
                  <c:y val="2.52742037176557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47-4440-ABAF-4962E4AAD62F}"/>
                </c:ext>
              </c:extLst>
            </c:dLbl>
            <c:dLbl>
              <c:idx val="1"/>
              <c:layout>
                <c:manualLayout>
                  <c:x val="5.5172239469764476E-17"/>
                  <c:y val="2.38551018806172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47-4440-ABAF-4962E4AAD62F}"/>
                </c:ext>
              </c:extLst>
            </c:dLbl>
            <c:dLbl>
              <c:idx val="2"/>
              <c:layout>
                <c:manualLayout>
                  <c:x val="0"/>
                  <c:y val="2.17264491250594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47-4440-ABAF-4962E4AAD62F}"/>
                </c:ext>
              </c:extLst>
            </c:dLbl>
            <c:dLbl>
              <c:idx val="3"/>
              <c:layout>
                <c:manualLayout>
                  <c:x val="0"/>
                  <c:y val="2.52742037176557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47-4440-ABAF-4962E4AAD62F}"/>
                </c:ext>
              </c:extLst>
            </c:dLbl>
            <c:spPr>
              <a:solidFill>
                <a:schemeClr val="accent3"/>
              </a:solidFill>
              <a:ln>
                <a:noFill/>
              </a:ln>
              <a:effectLst/>
            </c:spPr>
            <c:txPr>
              <a:bodyPr rot="0" spcFirstLastPara="1" vertOverflow="ellipsis" vert="horz" wrap="square" lIns="38100" tIns="19050" rIns="38100" bIns="19050" anchor="ctr" anchorCtr="1">
                <a:spAutoFit/>
              </a:bodyPr>
              <a:lstStyle/>
              <a:p>
                <a:pPr>
                  <a:defRPr sz="3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Charts'!$B$2:$B$5</c:f>
              <c:strCache>
                <c:ptCount val="4"/>
                <c:pt idx="0">
                  <c:v>Card Services</c:v>
                </c:pt>
                <c:pt idx="1">
                  <c:v>Fraud</c:v>
                </c:pt>
                <c:pt idx="2">
                  <c:v>Loans</c:v>
                </c:pt>
                <c:pt idx="3">
                  <c:v>Payments</c:v>
                </c:pt>
              </c:strCache>
            </c:strRef>
          </c:cat>
          <c:val>
            <c:numRef>
              <c:f>'Interactive Charts'!$E$2:$E$5</c:f>
              <c:numCache>
                <c:formatCode>0.00%</c:formatCode>
                <c:ptCount val="4"/>
                <c:pt idx="0">
                  <c:v>0.88405797101449279</c:v>
                </c:pt>
                <c:pt idx="1">
                  <c:v>0.63218390804597702</c:v>
                </c:pt>
                <c:pt idx="2">
                  <c:v>0.75324675324675328</c:v>
                </c:pt>
                <c:pt idx="3">
                  <c:v>0.70149253731343286</c:v>
                </c:pt>
              </c:numCache>
            </c:numRef>
          </c:val>
          <c:extLst>
            <c:ext xmlns:c16="http://schemas.microsoft.com/office/drawing/2014/chart" uri="{C3380CC4-5D6E-409C-BE32-E72D297353CC}">
              <c16:uniqueId val="{00000002-C11C-5544-9962-E638071334AB}"/>
            </c:ext>
          </c:extLst>
        </c:ser>
        <c:dLbls>
          <c:dLblPos val="inEnd"/>
          <c:showLegendKey val="0"/>
          <c:showVal val="1"/>
          <c:showCatName val="0"/>
          <c:showSerName val="0"/>
          <c:showPercent val="0"/>
          <c:showBubbleSize val="0"/>
        </c:dLbls>
        <c:gapWidth val="219"/>
        <c:overlap val="-27"/>
        <c:axId val="456400080"/>
        <c:axId val="457121600"/>
      </c:barChart>
      <c:catAx>
        <c:axId val="45640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crossAx val="457121600"/>
        <c:crosses val="autoZero"/>
        <c:auto val="1"/>
        <c:lblAlgn val="ctr"/>
        <c:lblOffset val="100"/>
        <c:noMultiLvlLbl val="0"/>
      </c:catAx>
      <c:valAx>
        <c:axId val="45712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56400080"/>
        <c:crosses val="autoZero"/>
        <c:crossBetween val="between"/>
      </c:valAx>
      <c:spPr>
        <a:noFill/>
        <a:ln>
          <a:noFill/>
        </a:ln>
        <a:effectLst/>
      </c:spPr>
    </c:plotArea>
    <c:legend>
      <c:legendPos val="b"/>
      <c:layout>
        <c:manualLayout>
          <c:xMode val="edge"/>
          <c:yMode val="edge"/>
          <c:x val="0.19251882942615536"/>
          <c:y val="9.5787803408592581E-2"/>
          <c:w val="0.66230654309892767"/>
          <c:h val="4.8238494885802084E-2"/>
        </c:manualLayout>
      </c:layout>
      <c:overlay val="0"/>
      <c:spPr>
        <a:noFill/>
        <a:ln>
          <a:noFill/>
        </a:ln>
        <a:effectLst/>
      </c:spPr>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[Call_Data_Interactive_Sample copy.xlsx]Pivot Summary!Hourly Pivot</c:name>
    <c:fmtId val="1"/>
  </c:pivotSource>
  <c:chart>
    <c:title>
      <c:tx>
        <c:rich>
          <a:bodyPr rot="0" spcFirstLastPara="1" vertOverflow="ellipsis" vert="horz" wrap="square" anchor="ctr" anchorCtr="1"/>
          <a:lstStyle/>
          <a:p>
            <a:pPr>
              <a:defRPr sz="4500" b="0" i="0" u="none" strike="noStrike" kern="1200" cap="none" spc="0" normalizeH="0" baseline="0">
                <a:solidFill>
                  <a:schemeClr val="tx1">
                    <a:lumMod val="65000"/>
                    <a:lumOff val="35000"/>
                  </a:schemeClr>
                </a:solidFill>
                <a:latin typeface="+mj-lt"/>
                <a:ea typeface="+mj-ea"/>
                <a:cs typeface="+mj-cs"/>
              </a:defRPr>
            </a:pPr>
            <a:r>
              <a:rPr lang="en-US" sz="4500">
                <a:latin typeface="+mn-lt"/>
              </a:rPr>
              <a:t>Call</a:t>
            </a:r>
            <a:r>
              <a:rPr lang="en-US" sz="4500" baseline="0">
                <a:latin typeface="+mn-lt"/>
              </a:rPr>
              <a:t> Volume by Hour</a:t>
            </a:r>
            <a:endParaRPr lang="en-US" sz="4500">
              <a:latin typeface="+mn-lt"/>
            </a:endParaRPr>
          </a:p>
        </c:rich>
      </c:tx>
      <c:layout>
        <c:manualLayout>
          <c:xMode val="edge"/>
          <c:yMode val="edge"/>
          <c:x val="0.36863743950401789"/>
          <c:y val="3.6208782853276139E-2"/>
        </c:manualLayout>
      </c:layout>
      <c:overlay val="0"/>
      <c:spPr>
        <a:noFill/>
        <a:ln>
          <a:noFill/>
        </a:ln>
        <a:effectLst/>
      </c:spPr>
      <c:txPr>
        <a:bodyPr rot="0" spcFirstLastPara="1" vertOverflow="ellipsis" vert="horz" wrap="square" anchor="ctr" anchorCtr="1"/>
        <a:lstStyle/>
        <a:p>
          <a:pPr>
            <a:defRPr sz="45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pivotFmt>
      <c:pivotFmt>
        <c:idx val="7"/>
        <c:spPr>
          <a:ln w="38100" cap="rnd">
            <a:solidFill>
              <a:schemeClr val="accent1"/>
            </a:solidFill>
            <a:round/>
          </a:ln>
          <a:effectLst/>
        </c:spPr>
        <c:marker>
          <c:symbol val="circle"/>
          <c:size val="8"/>
          <c:spPr>
            <a:solidFill>
              <a:schemeClr val="accent1"/>
            </a:solidFill>
            <a:ln>
              <a:noFill/>
            </a:ln>
            <a:effectLst/>
          </c:spPr>
        </c:marker>
      </c:pivotFmt>
      <c:pivotFmt>
        <c:idx val="8"/>
        <c:spPr>
          <a:ln w="38100" cap="rnd">
            <a:solidFill>
              <a:schemeClr val="accent1"/>
            </a:solidFill>
            <a:round/>
          </a:ln>
          <a:effectLst/>
        </c:spPr>
        <c:marker>
          <c:symbol val="circle"/>
          <c:size val="8"/>
          <c:spPr>
            <a:solidFill>
              <a:schemeClr val="accent1"/>
            </a:solidFill>
            <a:ln>
              <a:noFill/>
            </a:ln>
            <a:effectLst/>
          </c:spPr>
        </c:marker>
      </c:pivotFmt>
      <c:pivotFmt>
        <c:idx val="9"/>
        <c:spPr>
          <a:ln w="38100" cap="rnd">
            <a:solidFill>
              <a:schemeClr val="accent1"/>
            </a:solidFill>
            <a:round/>
          </a:ln>
          <a:effectLst/>
        </c:spPr>
        <c:marker>
          <c:symbol val="circle"/>
          <c:size val="8"/>
          <c:spPr>
            <a:solidFill>
              <a:schemeClr val="accent1"/>
            </a:solidFill>
            <a:ln>
              <a:noFill/>
            </a:ln>
            <a:effectLst/>
          </c:spPr>
        </c:marker>
      </c:pivotFmt>
      <c:pivotFmt>
        <c:idx val="10"/>
        <c:spPr>
          <a:ln w="38100" cap="rnd">
            <a:solidFill>
              <a:schemeClr val="accent1"/>
            </a:solidFill>
            <a:round/>
          </a:ln>
          <a:effectLst/>
        </c:spPr>
        <c:marker>
          <c:symbol val="circle"/>
          <c:size val="8"/>
          <c:spPr>
            <a:solidFill>
              <a:schemeClr val="accent1"/>
            </a:solidFill>
            <a:ln>
              <a:noFill/>
            </a:ln>
            <a:effectLst/>
          </c:spPr>
        </c:marker>
      </c:pivotFmt>
      <c:pivotFmt>
        <c:idx val="11"/>
        <c:spPr>
          <a:ln w="38100" cap="rnd">
            <a:solidFill>
              <a:schemeClr val="accent1"/>
            </a:solidFill>
            <a:round/>
          </a:ln>
          <a:effectLst/>
        </c:spPr>
        <c:marker>
          <c:symbol val="circle"/>
          <c:size val="8"/>
          <c:spPr>
            <a:solidFill>
              <a:schemeClr val="accent1"/>
            </a:solidFill>
            <a:ln>
              <a:noFill/>
            </a:ln>
            <a:effectLst/>
          </c:spPr>
        </c:marker>
      </c:pivotFmt>
      <c:pivotFmt>
        <c:idx val="12"/>
        <c:spPr>
          <a:ln w="38100" cap="rnd">
            <a:solidFill>
              <a:schemeClr val="accent1"/>
            </a:solidFill>
            <a:round/>
          </a:ln>
          <a:effectLst/>
        </c:spPr>
        <c:marker>
          <c:symbol val="circle"/>
          <c:size val="8"/>
          <c:spPr>
            <a:solidFill>
              <a:schemeClr val="accent1"/>
            </a:solidFill>
            <a:ln>
              <a:noFill/>
            </a:ln>
            <a:effectLst/>
          </c:spPr>
        </c:marker>
      </c:pivotFmt>
      <c:pivotFmt>
        <c:idx val="13"/>
        <c:spPr>
          <a:ln w="38100" cap="rnd">
            <a:solidFill>
              <a:schemeClr val="accent1"/>
            </a:solidFill>
            <a:round/>
          </a:ln>
          <a:effectLst/>
        </c:spPr>
        <c:marker>
          <c:symbol val="circle"/>
          <c:size val="8"/>
          <c:spPr>
            <a:solidFill>
              <a:schemeClr val="accent1"/>
            </a:solidFill>
            <a:ln>
              <a:noFill/>
            </a:ln>
            <a:effectLst/>
          </c:spPr>
        </c:marker>
      </c:pivotFmt>
      <c:pivotFmt>
        <c:idx val="14"/>
        <c:spPr>
          <a:ln w="38100" cap="rnd">
            <a:solidFill>
              <a:schemeClr val="accent2"/>
            </a:solidFill>
            <a:round/>
          </a:ln>
          <a:effectLst/>
        </c:spPr>
        <c:marker>
          <c:symbol val="circle"/>
          <c:size val="8"/>
          <c:spPr>
            <a:solidFill>
              <a:schemeClr val="accent2"/>
            </a:solidFill>
            <a:ln>
              <a:noFill/>
            </a:ln>
            <a:effectLst/>
          </c:spPr>
        </c:marker>
      </c:pivotFmt>
      <c:pivotFmt>
        <c:idx val="15"/>
        <c:spPr>
          <a:ln w="38100" cap="rnd">
            <a:solidFill>
              <a:schemeClr val="accent2"/>
            </a:solidFill>
            <a:round/>
          </a:ln>
          <a:effectLst/>
        </c:spPr>
        <c:marker>
          <c:symbol val="circle"/>
          <c:size val="8"/>
          <c:spPr>
            <a:solidFill>
              <a:schemeClr val="accent2"/>
            </a:solidFill>
            <a:ln>
              <a:noFill/>
            </a:ln>
            <a:effectLst/>
          </c:spPr>
        </c:marker>
      </c:pivotFmt>
      <c:pivotFmt>
        <c:idx val="16"/>
        <c:spPr>
          <a:ln w="38100" cap="rnd">
            <a:solidFill>
              <a:schemeClr val="accent2"/>
            </a:solidFill>
            <a:round/>
          </a:ln>
          <a:effectLst/>
        </c:spPr>
        <c:marker>
          <c:symbol val="circle"/>
          <c:size val="8"/>
          <c:spPr>
            <a:solidFill>
              <a:schemeClr val="accent2"/>
            </a:solidFill>
            <a:ln>
              <a:noFill/>
            </a:ln>
            <a:effectLst/>
          </c:spPr>
        </c:marker>
      </c:pivotFmt>
      <c:pivotFmt>
        <c:idx val="17"/>
        <c:spPr>
          <a:ln w="38100" cap="rnd">
            <a:solidFill>
              <a:schemeClr val="accent2"/>
            </a:solidFill>
            <a:round/>
          </a:ln>
          <a:effectLst/>
        </c:spPr>
        <c:marker>
          <c:symbol val="circle"/>
          <c:size val="8"/>
          <c:spPr>
            <a:solidFill>
              <a:schemeClr val="accent2"/>
            </a:solidFill>
            <a:ln>
              <a:noFill/>
            </a:ln>
            <a:effectLst/>
          </c:spPr>
        </c:marker>
      </c:pivotFmt>
      <c:pivotFmt>
        <c:idx val="18"/>
        <c:spPr>
          <a:ln w="38100" cap="rnd">
            <a:solidFill>
              <a:schemeClr val="accent2"/>
            </a:solidFill>
            <a:round/>
          </a:ln>
          <a:effectLst/>
        </c:spPr>
        <c:marker>
          <c:symbol val="circle"/>
          <c:size val="8"/>
          <c:spPr>
            <a:solidFill>
              <a:schemeClr val="accent2"/>
            </a:solidFill>
            <a:ln>
              <a:noFill/>
            </a:ln>
            <a:effectLst/>
          </c:spPr>
        </c:marker>
      </c:pivotFmt>
      <c:pivotFmt>
        <c:idx val="19"/>
        <c:spPr>
          <a:ln w="38100" cap="rnd">
            <a:solidFill>
              <a:schemeClr val="accent2"/>
            </a:solidFill>
            <a:round/>
          </a:ln>
          <a:effectLst/>
        </c:spPr>
        <c:marker>
          <c:symbol val="circle"/>
          <c:size val="8"/>
          <c:spPr>
            <a:solidFill>
              <a:schemeClr val="accent2"/>
            </a:solidFill>
            <a:ln>
              <a:noFill/>
            </a:ln>
            <a:effectLst/>
          </c:spPr>
        </c:marker>
      </c:pivotFmt>
      <c:pivotFmt>
        <c:idx val="20"/>
        <c:spPr>
          <a:ln w="38100" cap="rnd">
            <a:solidFill>
              <a:schemeClr val="accent2"/>
            </a:solidFill>
            <a:round/>
          </a:ln>
          <a:effectLst/>
        </c:spPr>
        <c:marker>
          <c:symbol val="circle"/>
          <c:size val="8"/>
          <c:spPr>
            <a:solidFill>
              <a:schemeClr val="accent2"/>
            </a:solidFill>
            <a:ln>
              <a:noFill/>
            </a:ln>
            <a:effectLst/>
          </c:spPr>
        </c:marker>
      </c:pivotFmt>
      <c:pivotFmt>
        <c:idx val="21"/>
        <c:spPr>
          <a:ln w="38100" cap="rnd">
            <a:solidFill>
              <a:schemeClr val="accent2"/>
            </a:solidFill>
            <a:round/>
          </a:ln>
          <a:effectLst/>
        </c:spPr>
        <c:marker>
          <c:symbol val="circle"/>
          <c:size val="8"/>
          <c:spPr>
            <a:solidFill>
              <a:schemeClr val="accent2"/>
            </a:solidFill>
            <a:ln>
              <a:noFill/>
            </a:ln>
            <a:effectLst/>
          </c:spPr>
        </c:marker>
      </c:pivotFmt>
      <c:pivotFmt>
        <c:idx val="22"/>
        <c:spPr>
          <a:ln w="38100" cap="rnd">
            <a:solidFill>
              <a:schemeClr val="accent2"/>
            </a:solidFill>
            <a:round/>
          </a:ln>
          <a:effectLst/>
        </c:spPr>
        <c:marker>
          <c:symbol val="circle"/>
          <c:size val="8"/>
          <c:spPr>
            <a:solidFill>
              <a:schemeClr val="accent2"/>
            </a:solidFill>
            <a:ln>
              <a:noFill/>
            </a:ln>
            <a:effectLst/>
          </c:spPr>
        </c:marker>
      </c:pivotFmt>
      <c:pivotFmt>
        <c:idx val="23"/>
        <c:spPr>
          <a:ln w="38100" cap="rnd">
            <a:solidFill>
              <a:schemeClr val="accent2"/>
            </a:solidFill>
            <a:round/>
          </a:ln>
          <a:effectLst/>
        </c:spPr>
        <c:marker>
          <c:symbol val="circle"/>
          <c:size val="8"/>
          <c:spPr>
            <a:solidFill>
              <a:schemeClr val="accent2"/>
            </a:solidFill>
            <a:ln>
              <a:noFill/>
            </a:ln>
            <a:effectLst/>
          </c:spPr>
        </c:marker>
      </c:pivotFmt>
      <c:pivotFmt>
        <c:idx val="24"/>
        <c:spPr>
          <a:ln w="38100" cap="rnd">
            <a:solidFill>
              <a:schemeClr val="accent3"/>
            </a:solidFill>
            <a:round/>
          </a:ln>
          <a:effectLst/>
        </c:spPr>
        <c:marker>
          <c:symbol val="circle"/>
          <c:size val="8"/>
          <c:spPr>
            <a:solidFill>
              <a:schemeClr val="accent3"/>
            </a:solidFill>
            <a:ln>
              <a:noFill/>
            </a:ln>
            <a:effectLst/>
          </c:spPr>
        </c:marker>
      </c:pivotFmt>
      <c:pivotFmt>
        <c:idx val="25"/>
        <c:spPr>
          <a:ln w="38100" cap="rnd">
            <a:solidFill>
              <a:schemeClr val="accent3"/>
            </a:solidFill>
            <a:round/>
          </a:ln>
          <a:effectLst/>
        </c:spPr>
        <c:marker>
          <c:symbol val="circle"/>
          <c:size val="8"/>
          <c:spPr>
            <a:solidFill>
              <a:schemeClr val="accent3"/>
            </a:solidFill>
            <a:ln>
              <a:noFill/>
            </a:ln>
            <a:effectLst/>
          </c:spPr>
        </c:marker>
      </c:pivotFmt>
      <c:pivotFmt>
        <c:idx val="26"/>
        <c:spPr>
          <a:ln w="38100" cap="rnd">
            <a:solidFill>
              <a:schemeClr val="accent3"/>
            </a:solidFill>
            <a:round/>
          </a:ln>
          <a:effectLst/>
        </c:spPr>
        <c:marker>
          <c:symbol val="circle"/>
          <c:size val="8"/>
          <c:spPr>
            <a:solidFill>
              <a:schemeClr val="accent3"/>
            </a:solidFill>
            <a:ln>
              <a:noFill/>
            </a:ln>
            <a:effectLst/>
          </c:spPr>
        </c:marker>
      </c:pivotFmt>
      <c:pivotFmt>
        <c:idx val="27"/>
        <c:spPr>
          <a:ln w="38100" cap="rnd">
            <a:solidFill>
              <a:schemeClr val="accent3"/>
            </a:solidFill>
            <a:round/>
          </a:ln>
          <a:effectLst/>
        </c:spPr>
        <c:marker>
          <c:symbol val="circle"/>
          <c:size val="8"/>
          <c:spPr>
            <a:solidFill>
              <a:schemeClr val="accent3"/>
            </a:solidFill>
            <a:ln>
              <a:noFill/>
            </a:ln>
            <a:effectLst/>
          </c:spPr>
        </c:marker>
      </c:pivotFmt>
      <c:pivotFmt>
        <c:idx val="28"/>
        <c:spPr>
          <a:ln w="38100" cap="rnd">
            <a:solidFill>
              <a:schemeClr val="accent3"/>
            </a:solidFill>
            <a:round/>
          </a:ln>
          <a:effectLst/>
        </c:spPr>
        <c:marker>
          <c:symbol val="circle"/>
          <c:size val="8"/>
          <c:spPr>
            <a:solidFill>
              <a:schemeClr val="accent3"/>
            </a:solidFill>
            <a:ln>
              <a:noFill/>
            </a:ln>
            <a:effectLst/>
          </c:spPr>
        </c:marker>
      </c:pivotFmt>
      <c:pivotFmt>
        <c:idx val="29"/>
        <c:spPr>
          <a:ln w="38100" cap="rnd">
            <a:solidFill>
              <a:schemeClr val="accent3"/>
            </a:solidFill>
            <a:round/>
          </a:ln>
          <a:effectLst/>
        </c:spPr>
        <c:marker>
          <c:symbol val="circle"/>
          <c:size val="8"/>
          <c:spPr>
            <a:solidFill>
              <a:schemeClr val="accent3"/>
            </a:solidFill>
            <a:ln>
              <a:noFill/>
            </a:ln>
            <a:effectLst/>
          </c:spPr>
        </c:marker>
      </c:pivotFmt>
      <c:pivotFmt>
        <c:idx val="30"/>
        <c:spPr>
          <a:ln w="38100" cap="rnd">
            <a:solidFill>
              <a:schemeClr val="accent3"/>
            </a:solidFill>
            <a:round/>
          </a:ln>
          <a:effectLst/>
        </c:spPr>
        <c:marker>
          <c:symbol val="circle"/>
          <c:size val="8"/>
          <c:spPr>
            <a:solidFill>
              <a:schemeClr val="accent3"/>
            </a:solidFill>
            <a:ln>
              <a:noFill/>
            </a:ln>
            <a:effectLst/>
          </c:spPr>
        </c:marker>
      </c:pivotFmt>
      <c:pivotFmt>
        <c:idx val="31"/>
        <c:spPr>
          <a:ln w="38100" cap="rnd">
            <a:solidFill>
              <a:schemeClr val="accent3"/>
            </a:solidFill>
            <a:round/>
          </a:ln>
          <a:effectLst/>
        </c:spPr>
        <c:marker>
          <c:symbol val="circle"/>
          <c:size val="8"/>
          <c:spPr>
            <a:solidFill>
              <a:schemeClr val="accent3"/>
            </a:solidFill>
            <a:ln>
              <a:noFill/>
            </a:ln>
            <a:effectLst/>
          </c:spPr>
        </c:marker>
      </c:pivotFmt>
      <c:pivotFmt>
        <c:idx val="32"/>
        <c:spPr>
          <a:ln w="38100" cap="rnd">
            <a:solidFill>
              <a:schemeClr val="accent3"/>
            </a:solidFill>
            <a:round/>
          </a:ln>
          <a:effectLst/>
        </c:spPr>
        <c:marker>
          <c:symbol val="circle"/>
          <c:size val="8"/>
          <c:spPr>
            <a:solidFill>
              <a:schemeClr val="accent3"/>
            </a:solidFill>
            <a:ln>
              <a:noFill/>
            </a:ln>
            <a:effectLst/>
          </c:spPr>
        </c:marker>
      </c:pivotFmt>
      <c:pivotFmt>
        <c:idx val="33"/>
        <c:spPr>
          <a:ln w="38100" cap="rnd">
            <a:solidFill>
              <a:schemeClr val="accent3"/>
            </a:solidFill>
            <a:round/>
          </a:ln>
          <a:effectLst/>
        </c:spPr>
        <c:marker>
          <c:symbol val="circle"/>
          <c:size val="8"/>
          <c:spPr>
            <a:solidFill>
              <a:schemeClr val="accent3"/>
            </a:solidFill>
            <a:ln>
              <a:noFill/>
            </a:ln>
            <a:effectLst/>
          </c:spPr>
        </c:marker>
      </c:pivotFmt>
      <c:pivotFmt>
        <c:idx val="34"/>
        <c:spPr>
          <a:ln w="38100" cap="rnd">
            <a:solidFill>
              <a:schemeClr val="accent3"/>
            </a:solidFill>
            <a:round/>
          </a:ln>
          <a:effectLst/>
        </c:spPr>
        <c:marker>
          <c:symbol val="circle"/>
          <c:size val="8"/>
          <c:spPr>
            <a:solidFill>
              <a:schemeClr val="accent3"/>
            </a:solidFill>
            <a:ln>
              <a:noFill/>
            </a:ln>
            <a:effectLst/>
          </c:spPr>
        </c:marker>
      </c:pivotFmt>
      <c:pivotFmt>
        <c:idx val="35"/>
        <c:spPr>
          <a:ln w="38100" cap="rnd">
            <a:solidFill>
              <a:schemeClr val="accent3"/>
            </a:solidFill>
            <a:round/>
          </a:ln>
          <a:effectLst/>
        </c:spPr>
        <c:marker>
          <c:symbol val="circle"/>
          <c:size val="8"/>
          <c:spPr>
            <a:solidFill>
              <a:schemeClr val="accent3"/>
            </a:solidFill>
            <a:ln>
              <a:noFill/>
            </a:ln>
            <a:effectLst/>
          </c:spPr>
        </c:marker>
      </c:pivotFmt>
    </c:pivotFmts>
    <c:plotArea>
      <c:layout>
        <c:manualLayout>
          <c:layoutTarget val="inner"/>
          <c:xMode val="edge"/>
          <c:yMode val="edge"/>
          <c:x val="9.2721143075124551E-2"/>
          <c:y val="0.10227477222095165"/>
          <c:w val="0.73449223241573958"/>
          <c:h val="0.8111523972049941"/>
        </c:manualLayout>
      </c:layout>
      <c:lineChart>
        <c:grouping val="stacked"/>
        <c:varyColors val="0"/>
        <c:ser>
          <c:idx val="0"/>
          <c:order val="0"/>
          <c:tx>
            <c:strRef>
              <c:f>'Pivot Summary'!$B$17</c:f>
              <c:strCache>
                <c:ptCount val="1"/>
                <c:pt idx="0">
                  <c:v>Escalated Calls</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6-5E18-744D-9F1D-EF338AC181B9}"/>
              </c:ext>
            </c:extLst>
          </c:dPt>
          <c:dPt>
            <c:idx val="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7-5E18-744D-9F1D-EF338AC181B9}"/>
              </c:ext>
            </c:extLst>
          </c:dPt>
          <c:dPt>
            <c:idx val="2"/>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0-5E18-744D-9F1D-EF338AC181B9}"/>
              </c:ext>
            </c:extLst>
          </c:dPt>
          <c:dPt>
            <c:idx val="3"/>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1-5E18-744D-9F1D-EF338AC181B9}"/>
              </c:ext>
            </c:extLst>
          </c:dPt>
          <c:dPt>
            <c:idx val="4"/>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2-5E18-744D-9F1D-EF338AC181B9}"/>
              </c:ext>
            </c:extLst>
          </c:dPt>
          <c:dPt>
            <c:idx val="5"/>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3-5E18-744D-9F1D-EF338AC181B9}"/>
              </c:ext>
            </c:extLst>
          </c:dPt>
          <c:dPt>
            <c:idx val="6"/>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4-5E18-744D-9F1D-EF338AC181B9}"/>
              </c:ext>
            </c:extLst>
          </c:dPt>
          <c:dPt>
            <c:idx val="7"/>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5-5E18-744D-9F1D-EF338AC181B9}"/>
              </c:ext>
            </c:extLst>
          </c:dPt>
          <c:cat>
            <c:strRef>
              <c:f>'Pivot Summary'!$A$18:$A$30</c:f>
              <c:strCache>
                <c:ptCount val="12"/>
                <c:pt idx="0">
                  <c:v>8</c:v>
                </c:pt>
                <c:pt idx="1">
                  <c:v>9</c:v>
                </c:pt>
                <c:pt idx="2">
                  <c:v>10</c:v>
                </c:pt>
                <c:pt idx="3">
                  <c:v>11</c:v>
                </c:pt>
                <c:pt idx="4">
                  <c:v>12</c:v>
                </c:pt>
                <c:pt idx="5">
                  <c:v>13</c:v>
                </c:pt>
                <c:pt idx="6">
                  <c:v>14</c:v>
                </c:pt>
                <c:pt idx="7">
                  <c:v>15</c:v>
                </c:pt>
                <c:pt idx="8">
                  <c:v>16</c:v>
                </c:pt>
                <c:pt idx="9">
                  <c:v>17</c:v>
                </c:pt>
                <c:pt idx="10">
                  <c:v>18</c:v>
                </c:pt>
                <c:pt idx="11">
                  <c:v>19</c:v>
                </c:pt>
              </c:strCache>
            </c:strRef>
          </c:cat>
          <c:val>
            <c:numRef>
              <c:f>'Pivot Summary'!$B$18:$B$30</c:f>
              <c:numCache>
                <c:formatCode>General</c:formatCode>
                <c:ptCount val="12"/>
                <c:pt idx="0">
                  <c:v>3</c:v>
                </c:pt>
                <c:pt idx="1">
                  <c:v>5</c:v>
                </c:pt>
                <c:pt idx="2">
                  <c:v>8</c:v>
                </c:pt>
                <c:pt idx="3">
                  <c:v>8</c:v>
                </c:pt>
                <c:pt idx="4">
                  <c:v>6</c:v>
                </c:pt>
                <c:pt idx="5">
                  <c:v>6</c:v>
                </c:pt>
                <c:pt idx="6">
                  <c:v>6</c:v>
                </c:pt>
                <c:pt idx="7">
                  <c:v>3</c:v>
                </c:pt>
                <c:pt idx="8">
                  <c:v>4</c:v>
                </c:pt>
                <c:pt idx="9">
                  <c:v>4</c:v>
                </c:pt>
                <c:pt idx="10">
                  <c:v>4</c:v>
                </c:pt>
                <c:pt idx="11">
                  <c:v>3</c:v>
                </c:pt>
              </c:numCache>
            </c:numRef>
          </c:val>
          <c:smooth val="0"/>
          <c:extLst>
            <c:ext xmlns:c16="http://schemas.microsoft.com/office/drawing/2014/chart" uri="{C3380CC4-5D6E-409C-BE32-E72D297353CC}">
              <c16:uniqueId val="{00000000-C0A0-D447-9C36-B636DF985723}"/>
            </c:ext>
          </c:extLst>
        </c:ser>
        <c:ser>
          <c:idx val="1"/>
          <c:order val="1"/>
          <c:tx>
            <c:strRef>
              <c:f>'Pivot Summary'!$C$17</c:f>
              <c:strCache>
                <c:ptCount val="1"/>
                <c:pt idx="0">
                  <c:v>Resolved Calls</c:v>
                </c:pt>
              </c:strCache>
            </c:strRef>
          </c:tx>
          <c:spPr>
            <a:ln w="38100" cap="rnd">
              <a:solidFill>
                <a:schemeClr val="accent2"/>
              </a:solidFill>
              <a:round/>
            </a:ln>
            <a:effectLst/>
          </c:spPr>
          <c:marker>
            <c:symbol val="circle"/>
            <c:size val="8"/>
            <c:spPr>
              <a:solidFill>
                <a:schemeClr val="accent2"/>
              </a:solidFill>
              <a:ln>
                <a:noFill/>
              </a:ln>
              <a:effectLst/>
            </c:spPr>
          </c:marker>
          <c:dPt>
            <c:idx val="0"/>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11-5E18-744D-9F1D-EF338AC181B9}"/>
              </c:ext>
            </c:extLst>
          </c:dPt>
          <c:dPt>
            <c:idx val="1"/>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E-5E18-744D-9F1D-EF338AC181B9}"/>
              </c:ext>
            </c:extLst>
          </c:dPt>
          <c:dPt>
            <c:idx val="2"/>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F-5E18-744D-9F1D-EF338AC181B9}"/>
              </c:ext>
            </c:extLst>
          </c:dPt>
          <c:dPt>
            <c:idx val="3"/>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10-5E18-744D-9F1D-EF338AC181B9}"/>
              </c:ext>
            </c:extLst>
          </c:dPt>
          <c:dPt>
            <c:idx val="6"/>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8-5E18-744D-9F1D-EF338AC181B9}"/>
              </c:ext>
            </c:extLst>
          </c:dPt>
          <c:dPt>
            <c:idx val="7"/>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9-5E18-744D-9F1D-EF338AC181B9}"/>
              </c:ext>
            </c:extLst>
          </c:dPt>
          <c:dPt>
            <c:idx val="8"/>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A-5E18-744D-9F1D-EF338AC181B9}"/>
              </c:ext>
            </c:extLst>
          </c:dPt>
          <c:dPt>
            <c:idx val="9"/>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B-5E18-744D-9F1D-EF338AC181B9}"/>
              </c:ext>
            </c:extLst>
          </c:dPt>
          <c:dPt>
            <c:idx val="10"/>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C-5E18-744D-9F1D-EF338AC181B9}"/>
              </c:ext>
            </c:extLst>
          </c:dPt>
          <c:dPt>
            <c:idx val="11"/>
            <c:marker>
              <c:symbol val="circle"/>
              <c:size val="8"/>
              <c:spPr>
                <a:solidFill>
                  <a:schemeClr val="accent2"/>
                </a:solidFill>
                <a:ln>
                  <a:noFill/>
                </a:ln>
                <a:effectLst/>
              </c:spPr>
            </c:marker>
            <c:bubble3D val="0"/>
            <c:spPr>
              <a:ln w="38100" cap="rnd">
                <a:solidFill>
                  <a:schemeClr val="accent2"/>
                </a:solidFill>
                <a:round/>
              </a:ln>
              <a:effectLst/>
            </c:spPr>
            <c:extLst>
              <c:ext xmlns:c16="http://schemas.microsoft.com/office/drawing/2014/chart" uri="{C3380CC4-5D6E-409C-BE32-E72D297353CC}">
                <c16:uniqueId val="{0000000D-5E18-744D-9F1D-EF338AC181B9}"/>
              </c:ext>
            </c:extLst>
          </c:dPt>
          <c:cat>
            <c:strRef>
              <c:f>'Pivot Summary'!$A$18:$A$30</c:f>
              <c:strCache>
                <c:ptCount val="12"/>
                <c:pt idx="0">
                  <c:v>8</c:v>
                </c:pt>
                <c:pt idx="1">
                  <c:v>9</c:v>
                </c:pt>
                <c:pt idx="2">
                  <c:v>10</c:v>
                </c:pt>
                <c:pt idx="3">
                  <c:v>11</c:v>
                </c:pt>
                <c:pt idx="4">
                  <c:v>12</c:v>
                </c:pt>
                <c:pt idx="5">
                  <c:v>13</c:v>
                </c:pt>
                <c:pt idx="6">
                  <c:v>14</c:v>
                </c:pt>
                <c:pt idx="7">
                  <c:v>15</c:v>
                </c:pt>
                <c:pt idx="8">
                  <c:v>16</c:v>
                </c:pt>
                <c:pt idx="9">
                  <c:v>17</c:v>
                </c:pt>
                <c:pt idx="10">
                  <c:v>18</c:v>
                </c:pt>
                <c:pt idx="11">
                  <c:v>19</c:v>
                </c:pt>
              </c:strCache>
            </c:strRef>
          </c:cat>
          <c:val>
            <c:numRef>
              <c:f>'Pivot Summary'!$C$18:$C$30</c:f>
              <c:numCache>
                <c:formatCode>General</c:formatCode>
                <c:ptCount val="12"/>
                <c:pt idx="0">
                  <c:v>11</c:v>
                </c:pt>
                <c:pt idx="1">
                  <c:v>25</c:v>
                </c:pt>
                <c:pt idx="2">
                  <c:v>16</c:v>
                </c:pt>
                <c:pt idx="3">
                  <c:v>22</c:v>
                </c:pt>
                <c:pt idx="4">
                  <c:v>18</c:v>
                </c:pt>
                <c:pt idx="5">
                  <c:v>22</c:v>
                </c:pt>
                <c:pt idx="6">
                  <c:v>17</c:v>
                </c:pt>
                <c:pt idx="7">
                  <c:v>21</c:v>
                </c:pt>
                <c:pt idx="8">
                  <c:v>20</c:v>
                </c:pt>
                <c:pt idx="9">
                  <c:v>15</c:v>
                </c:pt>
                <c:pt idx="10">
                  <c:v>19</c:v>
                </c:pt>
                <c:pt idx="11">
                  <c:v>15</c:v>
                </c:pt>
              </c:numCache>
            </c:numRef>
          </c:val>
          <c:smooth val="0"/>
          <c:extLst>
            <c:ext xmlns:c16="http://schemas.microsoft.com/office/drawing/2014/chart" uri="{C3380CC4-5D6E-409C-BE32-E72D297353CC}">
              <c16:uniqueId val="{00000001-C0A0-D447-9C36-B636DF985723}"/>
            </c:ext>
          </c:extLst>
        </c:ser>
        <c:ser>
          <c:idx val="2"/>
          <c:order val="2"/>
          <c:tx>
            <c:strRef>
              <c:f>'Pivot Summary'!$D$17</c:f>
              <c:strCache>
                <c:ptCount val="1"/>
                <c:pt idx="0">
                  <c:v>Total Calls</c:v>
                </c:pt>
              </c:strCache>
            </c:strRef>
          </c:tx>
          <c:spPr>
            <a:ln w="38100" cap="rnd">
              <a:solidFill>
                <a:schemeClr val="accent3"/>
              </a:solidFill>
              <a:round/>
            </a:ln>
            <a:effectLst/>
          </c:spPr>
          <c:marker>
            <c:symbol val="circle"/>
            <c:size val="8"/>
            <c:spPr>
              <a:solidFill>
                <a:schemeClr val="accent3"/>
              </a:solidFill>
              <a:ln>
                <a:noFill/>
              </a:ln>
              <a:effectLst/>
            </c:spPr>
          </c:marker>
          <c:dPt>
            <c:idx val="0"/>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5-5E18-744D-9F1D-EF338AC181B9}"/>
              </c:ext>
            </c:extLst>
          </c:dPt>
          <c:dPt>
            <c:idx val="1"/>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3-5E18-744D-9F1D-EF338AC181B9}"/>
              </c:ext>
            </c:extLst>
          </c:dPt>
          <c:dPt>
            <c:idx val="2"/>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4-5E18-744D-9F1D-EF338AC181B9}"/>
              </c:ext>
            </c:extLst>
          </c:dPt>
          <c:dPt>
            <c:idx val="3"/>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2-5E18-744D-9F1D-EF338AC181B9}"/>
              </c:ext>
            </c:extLst>
          </c:dPt>
          <c:dPt>
            <c:idx val="4"/>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6-5E18-744D-9F1D-EF338AC181B9}"/>
              </c:ext>
            </c:extLst>
          </c:dPt>
          <c:dPt>
            <c:idx val="5"/>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7-5E18-744D-9F1D-EF338AC181B9}"/>
              </c:ext>
            </c:extLst>
          </c:dPt>
          <c:dPt>
            <c:idx val="6"/>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8-5E18-744D-9F1D-EF338AC181B9}"/>
              </c:ext>
            </c:extLst>
          </c:dPt>
          <c:dPt>
            <c:idx val="7"/>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9-5E18-744D-9F1D-EF338AC181B9}"/>
              </c:ext>
            </c:extLst>
          </c:dPt>
          <c:dPt>
            <c:idx val="8"/>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A-5E18-744D-9F1D-EF338AC181B9}"/>
              </c:ext>
            </c:extLst>
          </c:dPt>
          <c:dPt>
            <c:idx val="9"/>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C-5E18-744D-9F1D-EF338AC181B9}"/>
              </c:ext>
            </c:extLst>
          </c:dPt>
          <c:dPt>
            <c:idx val="10"/>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B-5E18-744D-9F1D-EF338AC181B9}"/>
              </c:ext>
            </c:extLst>
          </c:dPt>
          <c:dPt>
            <c:idx val="11"/>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1D-5E18-744D-9F1D-EF338AC181B9}"/>
              </c:ext>
            </c:extLst>
          </c:dPt>
          <c:cat>
            <c:strRef>
              <c:f>'Pivot Summary'!$A$18:$A$30</c:f>
              <c:strCache>
                <c:ptCount val="12"/>
                <c:pt idx="0">
                  <c:v>8</c:v>
                </c:pt>
                <c:pt idx="1">
                  <c:v>9</c:v>
                </c:pt>
                <c:pt idx="2">
                  <c:v>10</c:v>
                </c:pt>
                <c:pt idx="3">
                  <c:v>11</c:v>
                </c:pt>
                <c:pt idx="4">
                  <c:v>12</c:v>
                </c:pt>
                <c:pt idx="5">
                  <c:v>13</c:v>
                </c:pt>
                <c:pt idx="6">
                  <c:v>14</c:v>
                </c:pt>
                <c:pt idx="7">
                  <c:v>15</c:v>
                </c:pt>
                <c:pt idx="8">
                  <c:v>16</c:v>
                </c:pt>
                <c:pt idx="9">
                  <c:v>17</c:v>
                </c:pt>
                <c:pt idx="10">
                  <c:v>18</c:v>
                </c:pt>
                <c:pt idx="11">
                  <c:v>19</c:v>
                </c:pt>
              </c:strCache>
            </c:strRef>
          </c:cat>
          <c:val>
            <c:numRef>
              <c:f>'Pivot Summary'!$D$18:$D$30</c:f>
              <c:numCache>
                <c:formatCode>General</c:formatCode>
                <c:ptCount val="12"/>
                <c:pt idx="0">
                  <c:v>18</c:v>
                </c:pt>
                <c:pt idx="1">
                  <c:v>33</c:v>
                </c:pt>
                <c:pt idx="2">
                  <c:v>20</c:v>
                </c:pt>
                <c:pt idx="3">
                  <c:v>35</c:v>
                </c:pt>
                <c:pt idx="4">
                  <c:v>26</c:v>
                </c:pt>
                <c:pt idx="5">
                  <c:v>27</c:v>
                </c:pt>
                <c:pt idx="6">
                  <c:v>20</c:v>
                </c:pt>
                <c:pt idx="7">
                  <c:v>29</c:v>
                </c:pt>
                <c:pt idx="8">
                  <c:v>24</c:v>
                </c:pt>
                <c:pt idx="9">
                  <c:v>22</c:v>
                </c:pt>
                <c:pt idx="10">
                  <c:v>24</c:v>
                </c:pt>
                <c:pt idx="11">
                  <c:v>22</c:v>
                </c:pt>
              </c:numCache>
            </c:numRef>
          </c:val>
          <c:smooth val="0"/>
          <c:extLst>
            <c:ext xmlns:c16="http://schemas.microsoft.com/office/drawing/2014/chart" uri="{C3380CC4-5D6E-409C-BE32-E72D297353CC}">
              <c16:uniqueId val="{00000002-C0A0-D447-9C36-B636DF985723}"/>
            </c:ext>
          </c:extLst>
        </c:ser>
        <c:dLbls>
          <c:showLegendKey val="0"/>
          <c:showVal val="0"/>
          <c:showCatName val="0"/>
          <c:showSerName val="0"/>
          <c:showPercent val="0"/>
          <c:showBubbleSize val="0"/>
        </c:dLbls>
        <c:marker val="1"/>
        <c:smooth val="0"/>
        <c:axId val="678795184"/>
        <c:axId val="719161568"/>
      </c:lineChart>
      <c:catAx>
        <c:axId val="678795184"/>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3000" b="0" i="0" u="none" strike="noStrike" kern="1200" cap="all" baseline="0">
                    <a:solidFill>
                      <a:schemeClr val="tx1">
                        <a:lumMod val="65000"/>
                        <a:lumOff val="35000"/>
                      </a:schemeClr>
                    </a:solidFill>
                    <a:latin typeface="+mn-lt"/>
                    <a:ea typeface="+mn-ea"/>
                    <a:cs typeface="+mn-cs"/>
                  </a:defRPr>
                </a:pPr>
                <a:r>
                  <a:rPr lang="en-US" sz="3000"/>
                  <a:t>Call</a:t>
                </a:r>
                <a:r>
                  <a:rPr lang="en-US" sz="3000" baseline="0"/>
                  <a:t> Hour</a:t>
                </a:r>
                <a:endParaRPr lang="en-US" sz="3000"/>
              </a:p>
            </c:rich>
          </c:tx>
          <c:layout>
            <c:manualLayout>
              <c:xMode val="edge"/>
              <c:yMode val="edge"/>
              <c:x val="0.4336188773239682"/>
              <c:y val="0.94861307008855811"/>
            </c:manualLayout>
          </c:layout>
          <c:overlay val="0"/>
          <c:spPr>
            <a:noFill/>
            <a:ln>
              <a:noFill/>
            </a:ln>
            <a:effectLst/>
          </c:spPr>
          <c:txPr>
            <a:bodyPr rot="0" spcFirstLastPara="1" vertOverflow="ellipsis" vert="horz" wrap="square" anchor="ctr" anchorCtr="1"/>
            <a:lstStyle/>
            <a:p>
              <a:pPr>
                <a:defRPr sz="30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500" b="0" i="0" u="none" strike="noStrike" kern="1200" cap="none" spc="0" normalizeH="0" baseline="0">
                <a:solidFill>
                  <a:schemeClr val="tx1">
                    <a:lumMod val="65000"/>
                    <a:lumOff val="35000"/>
                  </a:schemeClr>
                </a:solidFill>
                <a:latin typeface="+mn-lt"/>
                <a:ea typeface="+mn-ea"/>
                <a:cs typeface="+mn-cs"/>
              </a:defRPr>
            </a:pPr>
            <a:endParaRPr lang="en-US"/>
          </a:p>
        </c:txPr>
        <c:crossAx val="719161568"/>
        <c:crosses val="autoZero"/>
        <c:auto val="1"/>
        <c:lblAlgn val="ctr"/>
        <c:lblOffset val="100"/>
        <c:noMultiLvlLbl val="0"/>
      </c:catAx>
      <c:valAx>
        <c:axId val="7191615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3000" b="0" i="0" u="none" strike="noStrike" kern="1200" cap="all" baseline="0">
                    <a:solidFill>
                      <a:schemeClr val="tx1">
                        <a:lumMod val="65000"/>
                        <a:lumOff val="35000"/>
                      </a:schemeClr>
                    </a:solidFill>
                    <a:latin typeface="+mn-lt"/>
                    <a:ea typeface="+mn-ea"/>
                    <a:cs typeface="+mn-cs"/>
                  </a:defRPr>
                </a:pPr>
                <a:r>
                  <a:rPr lang="en-US" sz="3000"/>
                  <a:t>NUMBER</a:t>
                </a:r>
                <a:r>
                  <a:rPr lang="en-US" sz="3000" baseline="0"/>
                  <a:t> OF CALLS</a:t>
                </a:r>
                <a:endParaRPr lang="en-US" sz="3000"/>
              </a:p>
            </c:rich>
          </c:tx>
          <c:layout>
            <c:manualLayout>
              <c:xMode val="edge"/>
              <c:yMode val="edge"/>
              <c:x val="1.3414285487979761E-2"/>
              <c:y val="0.41498238914833824"/>
            </c:manualLayout>
          </c:layout>
          <c:overlay val="0"/>
          <c:spPr>
            <a:noFill/>
            <a:ln>
              <a:noFill/>
            </a:ln>
            <a:effectLst/>
          </c:spPr>
          <c:txPr>
            <a:bodyPr rot="-5400000" spcFirstLastPara="1" vertOverflow="ellipsis" vert="horz" wrap="square" anchor="ctr" anchorCtr="1"/>
            <a:lstStyle/>
            <a:p>
              <a:pPr>
                <a:defRPr sz="30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crossAx val="67879518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4250653585845325"/>
          <c:y val="0.23957673406578089"/>
          <c:w val="0.14790258687261595"/>
          <c:h val="0.63649481325799273"/>
        </c:manualLayout>
      </c:layout>
      <c:overlay val="0"/>
      <c:spPr>
        <a:noFill/>
        <a:ln>
          <a:noFill/>
        </a:ln>
        <a:effectLst/>
      </c:spPr>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[Call_Data_Interactive_Sample copy.xlsx]Pivot Summary!Call Distribution Pivot</c:name>
    <c:fmtId val="9"/>
  </c:pivotSource>
  <c:chart>
    <c:title>
      <c:tx>
        <c:rich>
          <a:bodyPr rot="0" spcFirstLastPara="1" vertOverflow="ellipsis" vert="horz" wrap="square" anchor="ctr" anchorCtr="1"/>
          <a:lstStyle/>
          <a:p>
            <a:pPr>
              <a:defRPr sz="3000" b="1" i="0" u="none" strike="noStrike" kern="1200" cap="all" spc="50" baseline="0">
                <a:solidFill>
                  <a:schemeClr val="tx1">
                    <a:lumMod val="65000"/>
                    <a:lumOff val="35000"/>
                  </a:schemeClr>
                </a:solidFill>
                <a:latin typeface="+mn-lt"/>
                <a:ea typeface="+mn-ea"/>
                <a:cs typeface="+mn-cs"/>
              </a:defRPr>
            </a:pPr>
            <a:r>
              <a:rPr lang="en-US" sz="3000" b="1" i="0" u="none" strike="noStrike" cap="all" baseline="0"/>
              <a:t>Escalation &amp; Resolution by Customer Segment</a:t>
            </a:r>
            <a:endParaRPr lang="en-US" sz="3000"/>
          </a:p>
        </c:rich>
      </c:tx>
      <c:layout>
        <c:manualLayout>
          <c:xMode val="edge"/>
          <c:yMode val="edge"/>
          <c:x val="0.1891878427425904"/>
          <c:y val="0.13197547256002248"/>
        </c:manualLayout>
      </c:layout>
      <c:overlay val="0"/>
      <c:spPr>
        <a:noFill/>
        <a:ln>
          <a:noFill/>
        </a:ln>
        <a:effectLst/>
      </c:spPr>
      <c:txPr>
        <a:bodyPr rot="0" spcFirstLastPara="1" vertOverflow="ellipsis" vert="horz" wrap="square" anchor="ctr" anchorCtr="1"/>
        <a:lstStyle/>
        <a:p>
          <a:pPr>
            <a:defRPr sz="3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19050">
            <a:contourClr>
              <a:schemeClr val="lt1"/>
            </a:contourClr>
          </a:sp3d>
        </c:spPr>
      </c:pivotFmt>
      <c:pivotFmt>
        <c:idx val="5"/>
        <c:spPr>
          <a:solidFill>
            <a:schemeClr val="accent1"/>
          </a:solidFill>
          <a:ln w="19050">
            <a:solidFill>
              <a:schemeClr val="lt1"/>
            </a:solidFill>
          </a:ln>
          <a:effectLst/>
          <a:sp3d contourW="19050">
            <a:contourClr>
              <a:schemeClr val="lt1"/>
            </a:contourClr>
          </a:sp3d>
        </c:spPr>
      </c:pivotFmt>
      <c:pivotFmt>
        <c:idx val="6"/>
        <c:spPr>
          <a:solidFill>
            <a:schemeClr val="accent1"/>
          </a:solidFill>
          <a:ln w="19050">
            <a:solidFill>
              <a:schemeClr val="lt1"/>
            </a:solidFill>
          </a:ln>
          <a:effectLst/>
          <a:sp3d contourW="19050">
            <a:contourClr>
              <a:schemeClr val="lt1"/>
            </a:contourClr>
          </a:sp3d>
        </c:spPr>
      </c:pivotFmt>
      <c:pivotFmt>
        <c:idx val="7"/>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19050">
            <a:contourClr>
              <a:schemeClr val="lt1"/>
            </a:contourClr>
          </a:sp3d>
        </c:spPr>
      </c:pivotFmt>
      <c:pivotFmt>
        <c:idx val="9"/>
        <c:spPr>
          <a:solidFill>
            <a:schemeClr val="accent1"/>
          </a:solidFill>
          <a:ln w="19050">
            <a:solidFill>
              <a:schemeClr val="lt1"/>
            </a:solidFill>
          </a:ln>
          <a:effectLst/>
          <a:sp3d contourW="19050">
            <a:contourClr>
              <a:schemeClr val="lt1"/>
            </a:contourClr>
          </a:sp3d>
        </c:spPr>
      </c:pivotFmt>
      <c:pivotFmt>
        <c:idx val="10"/>
        <c:spPr>
          <a:solidFill>
            <a:schemeClr val="accent1"/>
          </a:solidFill>
          <a:ln w="19050">
            <a:solidFill>
              <a:schemeClr val="lt1"/>
            </a:solidFill>
          </a:ln>
          <a:effectLst/>
          <a:sp3d contourW="19050">
            <a:contourClr>
              <a:schemeClr val="lt1"/>
            </a:contourClr>
          </a:sp3d>
        </c:spPr>
      </c:pivotFmt>
      <c:pivotFmt>
        <c:idx val="11"/>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sp3d contourW="19050">
            <a:contourClr>
              <a:schemeClr val="lt1"/>
            </a:contourClr>
          </a:sp3d>
        </c:spPr>
      </c:pivotFmt>
      <c:pivotFmt>
        <c:idx val="13"/>
        <c:spPr>
          <a:solidFill>
            <a:schemeClr val="accent1"/>
          </a:solidFill>
          <a:ln w="19050">
            <a:solidFill>
              <a:schemeClr val="lt1"/>
            </a:solidFill>
          </a:ln>
          <a:effectLst/>
          <a:sp3d contourW="19050">
            <a:contourClr>
              <a:schemeClr val="lt1"/>
            </a:contourClr>
          </a:sp3d>
        </c:spPr>
      </c:pivotFmt>
      <c:pivotFmt>
        <c:idx val="14"/>
        <c:spPr>
          <a:solidFill>
            <a:schemeClr val="accent1"/>
          </a:solidFill>
          <a:ln w="19050">
            <a:solidFill>
              <a:schemeClr val="lt1"/>
            </a:solidFill>
          </a:ln>
          <a:effectLst/>
          <a:sp3d contourW="1905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48833973085384"/>
          <c:y val="0.23397100996575626"/>
          <c:w val="0.75922265730031357"/>
          <c:h val="0.63071995711281281"/>
        </c:manualLayout>
      </c:layout>
      <c:pie3DChart>
        <c:varyColors val="1"/>
        <c:ser>
          <c:idx val="0"/>
          <c:order val="0"/>
          <c:tx>
            <c:strRef>
              <c:f>'Pivot Summary'!$B$11</c:f>
              <c:strCache>
                <c:ptCount val="1"/>
                <c:pt idx="0">
                  <c:v>Escalated Calls</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2C71-DA4F-A84C-FAB361D8F13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2C71-DA4F-A84C-FAB361D8F13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2C71-DA4F-A84C-FAB361D8F13E}"/>
              </c:ext>
            </c:extLst>
          </c:dPt>
          <c:dLbls>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Summary'!$A$12:$A$15</c:f>
              <c:strCache>
                <c:ptCount val="3"/>
                <c:pt idx="0">
                  <c:v>Business</c:v>
                </c:pt>
                <c:pt idx="1">
                  <c:v>Retail</c:v>
                </c:pt>
                <c:pt idx="2">
                  <c:v>Wealth</c:v>
                </c:pt>
              </c:strCache>
            </c:strRef>
          </c:cat>
          <c:val>
            <c:numRef>
              <c:f>'Pivot Summary'!$B$12:$B$15</c:f>
              <c:numCache>
                <c:formatCode>General</c:formatCode>
                <c:ptCount val="3"/>
                <c:pt idx="0">
                  <c:v>18</c:v>
                </c:pt>
                <c:pt idx="1">
                  <c:v>36</c:v>
                </c:pt>
                <c:pt idx="2">
                  <c:v>6</c:v>
                </c:pt>
              </c:numCache>
            </c:numRef>
          </c:val>
          <c:extLst>
            <c:ext xmlns:c16="http://schemas.microsoft.com/office/drawing/2014/chart" uri="{C3380CC4-5D6E-409C-BE32-E72D297353CC}">
              <c16:uniqueId val="{00000006-2C71-DA4F-A84C-FAB361D8F13E}"/>
            </c:ext>
          </c:extLst>
        </c:ser>
        <c:ser>
          <c:idx val="1"/>
          <c:order val="1"/>
          <c:tx>
            <c:strRef>
              <c:f>'Pivot Summary'!$C$11</c:f>
              <c:strCache>
                <c:ptCount val="1"/>
                <c:pt idx="0">
                  <c:v>Resolved Calls</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8-2C71-DA4F-A84C-FAB361D8F13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A-2C71-DA4F-A84C-FAB361D8F13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C-2C71-DA4F-A84C-FAB361D8F13E}"/>
              </c:ext>
            </c:extLst>
          </c:dPt>
          <c:dLbls>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Summary'!$A$12:$A$15</c:f>
              <c:strCache>
                <c:ptCount val="3"/>
                <c:pt idx="0">
                  <c:v>Business</c:v>
                </c:pt>
                <c:pt idx="1">
                  <c:v>Retail</c:v>
                </c:pt>
                <c:pt idx="2">
                  <c:v>Wealth</c:v>
                </c:pt>
              </c:strCache>
            </c:strRef>
          </c:cat>
          <c:val>
            <c:numRef>
              <c:f>'Pivot Summary'!$C$12:$C$15</c:f>
              <c:numCache>
                <c:formatCode>General</c:formatCode>
                <c:ptCount val="3"/>
                <c:pt idx="0">
                  <c:v>70</c:v>
                </c:pt>
                <c:pt idx="1">
                  <c:v>135</c:v>
                </c:pt>
                <c:pt idx="2">
                  <c:v>16</c:v>
                </c:pt>
              </c:numCache>
            </c:numRef>
          </c:val>
          <c:extLst>
            <c:ext xmlns:c16="http://schemas.microsoft.com/office/drawing/2014/chart" uri="{C3380CC4-5D6E-409C-BE32-E72D297353CC}">
              <c16:uniqueId val="{0000000D-2C71-DA4F-A84C-FAB361D8F13E}"/>
            </c:ext>
          </c:extLst>
        </c:ser>
        <c:ser>
          <c:idx val="2"/>
          <c:order val="2"/>
          <c:tx>
            <c:strRef>
              <c:f>'Pivot Summary'!$D$11</c:f>
              <c:strCache>
                <c:ptCount val="1"/>
                <c:pt idx="0">
                  <c:v>Total Calls</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F-2C71-DA4F-A84C-FAB361D8F13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11-2C71-DA4F-A84C-FAB361D8F13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13-2C71-DA4F-A84C-FAB361D8F13E}"/>
              </c:ext>
            </c:extLst>
          </c:dPt>
          <c:dLbls>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Summary'!$A$12:$A$15</c:f>
              <c:strCache>
                <c:ptCount val="3"/>
                <c:pt idx="0">
                  <c:v>Business</c:v>
                </c:pt>
                <c:pt idx="1">
                  <c:v>Retail</c:v>
                </c:pt>
                <c:pt idx="2">
                  <c:v>Wealth</c:v>
                </c:pt>
              </c:strCache>
            </c:strRef>
          </c:cat>
          <c:val>
            <c:numRef>
              <c:f>'Pivot Summary'!$D$12:$D$15</c:f>
              <c:numCache>
                <c:formatCode>General</c:formatCode>
                <c:ptCount val="3"/>
                <c:pt idx="0">
                  <c:v>97</c:v>
                </c:pt>
                <c:pt idx="1">
                  <c:v>178</c:v>
                </c:pt>
                <c:pt idx="2">
                  <c:v>25</c:v>
                </c:pt>
              </c:numCache>
            </c:numRef>
          </c:val>
          <c:extLst>
            <c:ext xmlns:c16="http://schemas.microsoft.com/office/drawing/2014/chart" uri="{C3380CC4-5D6E-409C-BE32-E72D297353CC}">
              <c16:uniqueId val="{00000014-2C71-DA4F-A84C-FAB361D8F13E}"/>
            </c:ext>
          </c:extLst>
        </c:ser>
        <c:dLbls>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17586134984685517"/>
          <c:y val="0.18894197531532878"/>
          <c:w val="0.13662443575659791"/>
          <c:h val="8.7387569327907741E-2"/>
        </c:manualLayout>
      </c:layout>
      <c:overlay val="0"/>
      <c:spPr>
        <a:noFill/>
        <a:ln>
          <a:noFill/>
        </a:ln>
        <a:effectLst/>
      </c:spPr>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253004</xdr:colOff>
      <xdr:row>2</xdr:row>
      <xdr:rowOff>326327</xdr:rowOff>
    </xdr:from>
    <xdr:to>
      <xdr:col>11</xdr:col>
      <xdr:colOff>1727200</xdr:colOff>
      <xdr:row>7</xdr:row>
      <xdr:rowOff>301625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A8E8596-86A2-C9D0-A4A4-8972FD72998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143492" y="976815"/>
              <a:ext cx="3828342" cy="1950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268519</xdr:colOff>
      <xdr:row>8</xdr:row>
      <xdr:rowOff>130241</xdr:rowOff>
    </xdr:from>
    <xdr:to>
      <xdr:col>11</xdr:col>
      <xdr:colOff>1699308</xdr:colOff>
      <xdr:row>11</xdr:row>
      <xdr:rowOff>79375</xdr:rowOff>
    </xdr:to>
    <mc:AlternateContent xmlns:mc="http://schemas.openxmlformats.org/markup-compatibility/2006">
      <mc:Choice xmlns:a14="http://schemas.microsoft.com/office/drawing/2010/main" Requires="a14">
        <xdr:graphicFrame macro="">
          <xdr:nvGraphicFramePr>
            <xdr:cNvPr id="3" name="Escalated">
              <a:extLst>
                <a:ext uri="{FF2B5EF4-FFF2-40B4-BE49-F238E27FC236}">
                  <a16:creationId xmlns:a16="http://schemas.microsoft.com/office/drawing/2014/main" id="{EAC696B1-3462-F6C8-4E1C-56812B0105DD}"/>
                </a:ext>
              </a:extLst>
            </xdr:cNvPr>
            <xdr:cNvGraphicFramePr/>
          </xdr:nvGraphicFramePr>
          <xdr:xfrm>
            <a:off x="0" y="0"/>
            <a:ext cx="0" cy="0"/>
          </xdr:xfrm>
          <a:graphic>
            <a:graphicData uri="http://schemas.microsoft.com/office/drawing/2010/slicer">
              <sle:slicer xmlns:sle="http://schemas.microsoft.com/office/drawing/2010/slicer" name="Escalated"/>
            </a:graphicData>
          </a:graphic>
        </xdr:graphicFrame>
      </mc:Choice>
      <mc:Fallback>
        <xdr:sp macro="" textlink="">
          <xdr:nvSpPr>
            <xdr:cNvPr id="0" name=""/>
            <xdr:cNvSpPr>
              <a:spLocks noTextEdit="1"/>
            </xdr:cNvSpPr>
          </xdr:nvSpPr>
          <xdr:spPr>
            <a:xfrm>
              <a:off x="17254769" y="2797241"/>
              <a:ext cx="3780289" cy="94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269876</xdr:colOff>
      <xdr:row>6</xdr:row>
      <xdr:rowOff>51073</xdr:rowOff>
    </xdr:from>
    <xdr:to>
      <xdr:col>10</xdr:col>
      <xdr:colOff>84666</xdr:colOff>
      <xdr:row>9</xdr:row>
      <xdr:rowOff>36934</xdr:rowOff>
    </xdr:to>
    <mc:AlternateContent xmlns:mc="http://schemas.openxmlformats.org/markup-compatibility/2006">
      <mc:Choice xmlns:a14="http://schemas.microsoft.com/office/drawing/2010/main" Requires="a14">
        <xdr:graphicFrame macro="">
          <xdr:nvGraphicFramePr>
            <xdr:cNvPr id="4" name="Resolved">
              <a:extLst>
                <a:ext uri="{FF2B5EF4-FFF2-40B4-BE49-F238E27FC236}">
                  <a16:creationId xmlns:a16="http://schemas.microsoft.com/office/drawing/2014/main" id="{A0B4C477-7A5A-C2A4-E0A2-17BCF1E23982}"/>
                </a:ext>
              </a:extLst>
            </xdr:cNvPr>
            <xdr:cNvGraphicFramePr/>
          </xdr:nvGraphicFramePr>
          <xdr:xfrm>
            <a:off x="0" y="0"/>
            <a:ext cx="0" cy="0"/>
          </xdr:xfrm>
          <a:graphic>
            <a:graphicData uri="http://schemas.microsoft.com/office/drawing/2010/slicer">
              <sle:slicer xmlns:sle="http://schemas.microsoft.com/office/drawing/2010/slicer" name="Resolved"/>
            </a:graphicData>
          </a:graphic>
        </xdr:graphicFrame>
      </mc:Choice>
      <mc:Fallback>
        <xdr:sp macro="" textlink="">
          <xdr:nvSpPr>
            <xdr:cNvPr id="0" name=""/>
            <xdr:cNvSpPr>
              <a:spLocks noTextEdit="1"/>
            </xdr:cNvSpPr>
          </xdr:nvSpPr>
          <xdr:spPr>
            <a:xfrm>
              <a:off x="14303376" y="2051323"/>
              <a:ext cx="2767540" cy="985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286084</xdr:colOff>
      <xdr:row>11</xdr:row>
      <xdr:rowOff>211577</xdr:rowOff>
    </xdr:from>
    <xdr:to>
      <xdr:col>11</xdr:col>
      <xdr:colOff>1708919</xdr:colOff>
      <xdr:row>16</xdr:row>
      <xdr:rowOff>0</xdr:rowOff>
    </xdr:to>
    <mc:AlternateContent xmlns:mc="http://schemas.openxmlformats.org/markup-compatibility/2006">
      <mc:Choice xmlns:a14="http://schemas.microsoft.com/office/drawing/2010/main" Requires="a14">
        <xdr:graphicFrame macro="">
          <xdr:nvGraphicFramePr>
            <xdr:cNvPr id="5" name="Call Type">
              <a:extLst>
                <a:ext uri="{FF2B5EF4-FFF2-40B4-BE49-F238E27FC236}">
                  <a16:creationId xmlns:a16="http://schemas.microsoft.com/office/drawing/2014/main" id="{931F6A19-0EFD-76CE-FCF1-9FFB2B4E4EC0}"/>
                </a:ext>
              </a:extLst>
            </xdr:cNvPr>
            <xdr:cNvGraphicFramePr/>
          </xdr:nvGraphicFramePr>
          <xdr:xfrm>
            <a:off x="0" y="0"/>
            <a:ext cx="0" cy="0"/>
          </xdr:xfrm>
          <a:graphic>
            <a:graphicData uri="http://schemas.microsoft.com/office/drawing/2010/slicer">
              <sle:slicer xmlns:sle="http://schemas.microsoft.com/office/drawing/2010/slicer" name="Call Type"/>
            </a:graphicData>
          </a:graphic>
        </xdr:graphicFrame>
      </mc:Choice>
      <mc:Fallback>
        <xdr:sp macro="" textlink="">
          <xdr:nvSpPr>
            <xdr:cNvPr id="0" name=""/>
            <xdr:cNvSpPr>
              <a:spLocks noTextEdit="1"/>
            </xdr:cNvSpPr>
          </xdr:nvSpPr>
          <xdr:spPr>
            <a:xfrm>
              <a:off x="17272334" y="3878702"/>
              <a:ext cx="3772335" cy="1455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311686</xdr:colOff>
      <xdr:row>16</xdr:row>
      <xdr:rowOff>106266</xdr:rowOff>
    </xdr:from>
    <xdr:to>
      <xdr:col>11</xdr:col>
      <xdr:colOff>1712075</xdr:colOff>
      <xdr:row>19</xdr:row>
      <xdr:rowOff>63501</xdr:rowOff>
    </xdr:to>
    <mc:AlternateContent xmlns:mc="http://schemas.openxmlformats.org/markup-compatibility/2006">
      <mc:Choice xmlns:a14="http://schemas.microsoft.com/office/drawing/2010/main" Requires="a14">
        <xdr:graphicFrame macro="">
          <xdr:nvGraphicFramePr>
            <xdr:cNvPr id="6" name="35">
              <a:extLst>
                <a:ext uri="{FF2B5EF4-FFF2-40B4-BE49-F238E27FC236}">
                  <a16:creationId xmlns:a16="http://schemas.microsoft.com/office/drawing/2014/main" id="{910EC98A-F3FA-C6DD-0C36-3E465A595E20}"/>
                </a:ext>
              </a:extLst>
            </xdr:cNvPr>
            <xdr:cNvGraphicFramePr/>
          </xdr:nvGraphicFramePr>
          <xdr:xfrm>
            <a:off x="0" y="0"/>
            <a:ext cx="0" cy="0"/>
          </xdr:xfrm>
          <a:graphic>
            <a:graphicData uri="http://schemas.microsoft.com/office/drawing/2010/slicer">
              <sle:slicer xmlns:sle="http://schemas.microsoft.com/office/drawing/2010/slicer" name="35"/>
            </a:graphicData>
          </a:graphic>
        </xdr:graphicFrame>
      </mc:Choice>
      <mc:Fallback>
        <xdr:sp macro="" textlink="">
          <xdr:nvSpPr>
            <xdr:cNvPr id="0" name=""/>
            <xdr:cNvSpPr>
              <a:spLocks noTextEdit="1"/>
            </xdr:cNvSpPr>
          </xdr:nvSpPr>
          <xdr:spPr>
            <a:xfrm>
              <a:off x="17297936" y="5440266"/>
              <a:ext cx="3749889" cy="95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287868</xdr:colOff>
      <xdr:row>3</xdr:row>
      <xdr:rowOff>2075</xdr:rowOff>
    </xdr:from>
    <xdr:to>
      <xdr:col>10</xdr:col>
      <xdr:colOff>84665</xdr:colOff>
      <xdr:row>5</xdr:row>
      <xdr:rowOff>269875</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19F4AC55-AA01-499B-93DD-5AE9A3314A6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3204697" y="977807"/>
              <a:ext cx="2770456" cy="167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270322</xdr:colOff>
      <xdr:row>9</xdr:row>
      <xdr:rowOff>195792</xdr:rowOff>
    </xdr:from>
    <xdr:to>
      <xdr:col>10</xdr:col>
      <xdr:colOff>111125</xdr:colOff>
      <xdr:row>19</xdr:row>
      <xdr:rowOff>238125</xdr:rowOff>
    </xdr:to>
    <mc:AlternateContent xmlns:mc="http://schemas.openxmlformats.org/markup-compatibility/2006">
      <mc:Choice xmlns:a14="http://schemas.microsoft.com/office/drawing/2010/main" Requires="a14">
        <xdr:graphicFrame macro="">
          <xdr:nvGraphicFramePr>
            <xdr:cNvPr id="8" name="Call Hour">
              <a:extLst>
                <a:ext uri="{FF2B5EF4-FFF2-40B4-BE49-F238E27FC236}">
                  <a16:creationId xmlns:a16="http://schemas.microsoft.com/office/drawing/2014/main" id="{BB1D1875-6D28-0EC3-2CB8-E2878A8C2196}"/>
                </a:ext>
              </a:extLst>
            </xdr:cNvPr>
            <xdr:cNvGraphicFramePr/>
          </xdr:nvGraphicFramePr>
          <xdr:xfrm>
            <a:off x="0" y="0"/>
            <a:ext cx="0" cy="0"/>
          </xdr:xfrm>
          <a:graphic>
            <a:graphicData uri="http://schemas.microsoft.com/office/drawing/2010/slicer">
              <sle:slicer xmlns:sle="http://schemas.microsoft.com/office/drawing/2010/slicer" name="Call Hour"/>
            </a:graphicData>
          </a:graphic>
        </xdr:graphicFrame>
      </mc:Choice>
      <mc:Fallback>
        <xdr:sp macro="" textlink="">
          <xdr:nvSpPr>
            <xdr:cNvPr id="0" name=""/>
            <xdr:cNvSpPr>
              <a:spLocks noTextEdit="1"/>
            </xdr:cNvSpPr>
          </xdr:nvSpPr>
          <xdr:spPr>
            <a:xfrm>
              <a:off x="14303822" y="3196167"/>
              <a:ext cx="2793553" cy="3376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1060146</xdr:colOff>
      <xdr:row>0</xdr:row>
      <xdr:rowOff>200527</xdr:rowOff>
    </xdr:from>
    <xdr:to>
      <xdr:col>32</xdr:col>
      <xdr:colOff>668421</xdr:colOff>
      <xdr:row>71</xdr:row>
      <xdr:rowOff>33422</xdr:rowOff>
    </xdr:to>
    <xdr:graphicFrame macro="">
      <xdr:nvGraphicFramePr>
        <xdr:cNvPr id="5" name="Chart 4">
          <a:extLst>
            <a:ext uri="{FF2B5EF4-FFF2-40B4-BE49-F238E27FC236}">
              <a16:creationId xmlns:a16="http://schemas.microsoft.com/office/drawing/2014/main" id="{16D8EB59-9E3B-DD4D-65A6-797316C4D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759155</xdr:colOff>
      <xdr:row>0</xdr:row>
      <xdr:rowOff>167104</xdr:rowOff>
    </xdr:from>
    <xdr:to>
      <xdr:col>53</xdr:col>
      <xdr:colOff>178245</xdr:colOff>
      <xdr:row>71</xdr:row>
      <xdr:rowOff>33420</xdr:rowOff>
    </xdr:to>
    <xdr:graphicFrame macro="">
      <xdr:nvGraphicFramePr>
        <xdr:cNvPr id="6" name="Chart 12">
          <a:extLst>
            <a:ext uri="{FF2B5EF4-FFF2-40B4-BE49-F238E27FC236}">
              <a16:creationId xmlns:a16="http://schemas.microsoft.com/office/drawing/2014/main" id="{90285391-86E6-D1D9-5846-360E30E76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267368</xdr:colOff>
      <xdr:row>0</xdr:row>
      <xdr:rowOff>33421</xdr:rowOff>
    </xdr:from>
    <xdr:to>
      <xdr:col>13</xdr:col>
      <xdr:colOff>1009487</xdr:colOff>
      <xdr:row>71</xdr:row>
      <xdr:rowOff>33421</xdr:rowOff>
    </xdr:to>
    <xdr:graphicFrame macro="">
      <xdr:nvGraphicFramePr>
        <xdr:cNvPr id="7" name="Chart 15">
          <a:extLst>
            <a:ext uri="{FF2B5EF4-FFF2-40B4-BE49-F238E27FC236}">
              <a16:creationId xmlns:a16="http://schemas.microsoft.com/office/drawing/2014/main" id="{349DDB54-0CE0-7960-361E-7D75B83E9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42.15820416667" createdVersion="8" refreshedVersion="8" minRefreshableVersion="3" recordCount="300" xr:uid="{75EE4462-4F85-474B-9ADB-02F557E8102F}">
  <cacheSource type="worksheet">
    <worksheetSource name="Table1"/>
  </cacheSource>
  <cacheFields count="14">
    <cacheField name="Call ID" numFmtId="0">
      <sharedItems containsSemiMixedTypes="0" containsString="0" containsNumber="1" containsInteger="1" minValue="1" maxValue="300"/>
    </cacheField>
    <cacheField name="Department" numFmtId="0">
      <sharedItems count="4">
        <s v="Fraud"/>
        <s v="Card Services"/>
        <s v="Loans"/>
        <s v="Payments"/>
      </sharedItems>
    </cacheField>
    <cacheField name="Duration (min)" numFmtId="0">
      <sharedItems containsSemiMixedTypes="0" containsString="0" containsNumber="1" minValue="2" maxValue="19.600000000000001"/>
    </cacheField>
    <cacheField name="Escalated" numFmtId="0">
      <sharedItems count="2">
        <s v="No"/>
        <s v="Yes"/>
      </sharedItems>
    </cacheField>
    <cacheField name="Resolved" numFmtId="0">
      <sharedItems count="2">
        <s v="Yes"/>
        <s v="No"/>
      </sharedItems>
    </cacheField>
    <cacheField name="Call Type" numFmtId="0">
      <sharedItems count="4">
        <s v="Inquiry"/>
        <s v="Complaint"/>
        <s v="Fraud Report"/>
        <s v="Transaction"/>
      </sharedItems>
    </cacheField>
    <cacheField name="Customer Segment" numFmtId="0">
      <sharedItems count="3">
        <s v="Business"/>
        <s v="Retail"/>
        <s v="Wealth"/>
      </sharedItems>
    </cacheField>
    <cacheField name="Repeat Caller" numFmtId="0">
      <sharedItems/>
    </cacheField>
    <cacheField name="Satisfaction Score" numFmtId="0">
      <sharedItems containsSemiMixedTypes="0" containsString="0" containsNumber="1" containsInteger="1" minValue="1" maxValue="5"/>
    </cacheField>
    <cacheField name="CSR ID" numFmtId="0">
      <sharedItems/>
    </cacheField>
    <cacheField name="Channel" numFmtId="0">
      <sharedItems count="3">
        <s v="Branch"/>
        <s v="Phone"/>
        <s v="App"/>
      </sharedItems>
    </cacheField>
    <cacheField name="Call Hour" numFmtId="0">
      <sharedItems containsSemiMixedTypes="0" containsString="0" containsNumber="1" containsInteger="1" minValue="8" maxValue="19" count="12">
        <n v="12"/>
        <n v="15"/>
        <n v="13"/>
        <n v="9"/>
        <n v="14"/>
        <n v="16"/>
        <n v="19"/>
        <n v="11"/>
        <n v="8"/>
        <n v="18"/>
        <n v="10"/>
        <n v="17"/>
      </sharedItems>
    </cacheField>
    <cacheField name="Escalated Flag" numFmtId="0">
      <sharedItems containsSemiMixedTypes="0" containsString="0" containsNumber="1" containsInteger="1" minValue="0" maxValue="1"/>
    </cacheField>
    <cacheField name="Resolved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562709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n v="13.2"/>
    <x v="0"/>
    <x v="0"/>
    <x v="0"/>
    <x v="0"/>
    <s v="Yes"/>
    <n v="5"/>
    <s v="CSR018"/>
    <x v="0"/>
    <x v="0"/>
    <n v="0"/>
    <n v="1"/>
  </r>
  <r>
    <n v="2"/>
    <x v="1"/>
    <n v="16.5"/>
    <x v="0"/>
    <x v="0"/>
    <x v="0"/>
    <x v="1"/>
    <s v="No"/>
    <n v="3"/>
    <s v="CSR007"/>
    <x v="1"/>
    <x v="1"/>
    <n v="0"/>
    <n v="1"/>
  </r>
  <r>
    <n v="3"/>
    <x v="2"/>
    <n v="9.9"/>
    <x v="0"/>
    <x v="0"/>
    <x v="1"/>
    <x v="0"/>
    <s v="No"/>
    <n v="4"/>
    <s v="CSR002"/>
    <x v="0"/>
    <x v="0"/>
    <n v="0"/>
    <n v="1"/>
  </r>
  <r>
    <n v="4"/>
    <x v="3"/>
    <n v="9.3000000000000007"/>
    <x v="0"/>
    <x v="1"/>
    <x v="0"/>
    <x v="1"/>
    <s v="No"/>
    <n v="3"/>
    <s v="CSR008"/>
    <x v="0"/>
    <x v="0"/>
    <n v="0"/>
    <n v="0"/>
  </r>
  <r>
    <n v="5"/>
    <x v="2"/>
    <n v="4.5999999999999996"/>
    <x v="0"/>
    <x v="1"/>
    <x v="2"/>
    <x v="1"/>
    <s v="No"/>
    <n v="1"/>
    <s v="CSR018"/>
    <x v="0"/>
    <x v="2"/>
    <n v="0"/>
    <n v="0"/>
  </r>
  <r>
    <n v="6"/>
    <x v="0"/>
    <n v="5.9"/>
    <x v="0"/>
    <x v="0"/>
    <x v="0"/>
    <x v="0"/>
    <s v="No"/>
    <n v="5"/>
    <s v="CSR013"/>
    <x v="0"/>
    <x v="3"/>
    <n v="0"/>
    <n v="1"/>
  </r>
  <r>
    <n v="7"/>
    <x v="0"/>
    <n v="2.8"/>
    <x v="0"/>
    <x v="0"/>
    <x v="0"/>
    <x v="1"/>
    <s v="Yes"/>
    <n v="4"/>
    <s v="CSR010"/>
    <x v="0"/>
    <x v="4"/>
    <n v="0"/>
    <n v="1"/>
  </r>
  <r>
    <n v="8"/>
    <x v="2"/>
    <n v="5.2"/>
    <x v="0"/>
    <x v="0"/>
    <x v="2"/>
    <x v="2"/>
    <s v="No"/>
    <n v="5"/>
    <s v="CSR002"/>
    <x v="0"/>
    <x v="5"/>
    <n v="0"/>
    <n v="1"/>
  </r>
  <r>
    <n v="9"/>
    <x v="3"/>
    <n v="15.5"/>
    <x v="0"/>
    <x v="0"/>
    <x v="3"/>
    <x v="1"/>
    <s v="No"/>
    <n v="4"/>
    <s v="CSR001"/>
    <x v="0"/>
    <x v="0"/>
    <n v="0"/>
    <n v="1"/>
  </r>
  <r>
    <n v="10"/>
    <x v="2"/>
    <n v="15"/>
    <x v="0"/>
    <x v="1"/>
    <x v="3"/>
    <x v="1"/>
    <s v="No"/>
    <n v="4"/>
    <s v="CSR011"/>
    <x v="0"/>
    <x v="6"/>
    <n v="0"/>
    <n v="0"/>
  </r>
  <r>
    <n v="11"/>
    <x v="0"/>
    <n v="18.3"/>
    <x v="0"/>
    <x v="0"/>
    <x v="2"/>
    <x v="1"/>
    <s v="Yes"/>
    <n v="3"/>
    <s v="CSR005"/>
    <x v="0"/>
    <x v="2"/>
    <n v="0"/>
    <n v="1"/>
  </r>
  <r>
    <n v="12"/>
    <x v="3"/>
    <n v="17.399999999999999"/>
    <x v="0"/>
    <x v="1"/>
    <x v="1"/>
    <x v="2"/>
    <s v="No"/>
    <n v="4"/>
    <s v="CSR014"/>
    <x v="2"/>
    <x v="7"/>
    <n v="0"/>
    <n v="0"/>
  </r>
  <r>
    <n v="13"/>
    <x v="0"/>
    <n v="19.399999999999999"/>
    <x v="0"/>
    <x v="1"/>
    <x v="1"/>
    <x v="0"/>
    <s v="No"/>
    <n v="3"/>
    <s v="CSR018"/>
    <x v="0"/>
    <x v="6"/>
    <n v="0"/>
    <n v="0"/>
  </r>
  <r>
    <n v="14"/>
    <x v="3"/>
    <n v="12.4"/>
    <x v="0"/>
    <x v="0"/>
    <x v="3"/>
    <x v="1"/>
    <s v="No"/>
    <n v="4"/>
    <s v="CSR009"/>
    <x v="1"/>
    <x v="7"/>
    <n v="0"/>
    <n v="1"/>
  </r>
  <r>
    <n v="15"/>
    <x v="3"/>
    <n v="15"/>
    <x v="0"/>
    <x v="1"/>
    <x v="3"/>
    <x v="1"/>
    <s v="No"/>
    <n v="4"/>
    <s v="CSR005"/>
    <x v="0"/>
    <x v="7"/>
    <n v="0"/>
    <n v="0"/>
  </r>
  <r>
    <n v="16"/>
    <x v="0"/>
    <n v="3"/>
    <x v="0"/>
    <x v="1"/>
    <x v="3"/>
    <x v="1"/>
    <s v="Yes"/>
    <n v="1"/>
    <s v="CSR010"/>
    <x v="2"/>
    <x v="2"/>
    <n v="0"/>
    <n v="0"/>
  </r>
  <r>
    <n v="17"/>
    <x v="1"/>
    <n v="10.6"/>
    <x v="0"/>
    <x v="0"/>
    <x v="0"/>
    <x v="0"/>
    <s v="No"/>
    <n v="2"/>
    <s v="CSR010"/>
    <x v="1"/>
    <x v="7"/>
    <n v="0"/>
    <n v="1"/>
  </r>
  <r>
    <n v="18"/>
    <x v="1"/>
    <n v="9"/>
    <x v="1"/>
    <x v="0"/>
    <x v="3"/>
    <x v="1"/>
    <s v="No"/>
    <n v="3"/>
    <s v="CSR020"/>
    <x v="1"/>
    <x v="2"/>
    <n v="1"/>
    <n v="1"/>
  </r>
  <r>
    <n v="19"/>
    <x v="2"/>
    <n v="9.1"/>
    <x v="1"/>
    <x v="0"/>
    <x v="0"/>
    <x v="0"/>
    <s v="No"/>
    <n v="4"/>
    <s v="CSR009"/>
    <x v="2"/>
    <x v="7"/>
    <n v="1"/>
    <n v="1"/>
  </r>
  <r>
    <n v="20"/>
    <x v="0"/>
    <n v="19.399999999999999"/>
    <x v="1"/>
    <x v="1"/>
    <x v="1"/>
    <x v="1"/>
    <s v="No"/>
    <n v="5"/>
    <s v="CSR009"/>
    <x v="1"/>
    <x v="7"/>
    <n v="1"/>
    <n v="0"/>
  </r>
  <r>
    <n v="21"/>
    <x v="1"/>
    <n v="4.4000000000000004"/>
    <x v="0"/>
    <x v="0"/>
    <x v="0"/>
    <x v="1"/>
    <s v="Yes"/>
    <n v="5"/>
    <s v="CSR010"/>
    <x v="0"/>
    <x v="2"/>
    <n v="0"/>
    <n v="1"/>
  </r>
  <r>
    <n v="22"/>
    <x v="3"/>
    <n v="9.4"/>
    <x v="1"/>
    <x v="0"/>
    <x v="1"/>
    <x v="1"/>
    <s v="No"/>
    <n v="4"/>
    <s v="CSR019"/>
    <x v="1"/>
    <x v="8"/>
    <n v="1"/>
    <n v="1"/>
  </r>
  <r>
    <n v="23"/>
    <x v="2"/>
    <n v="11.1"/>
    <x v="0"/>
    <x v="0"/>
    <x v="1"/>
    <x v="1"/>
    <s v="No"/>
    <n v="4"/>
    <s v="CSR017"/>
    <x v="2"/>
    <x v="9"/>
    <n v="0"/>
    <n v="1"/>
  </r>
  <r>
    <n v="24"/>
    <x v="1"/>
    <n v="5.5"/>
    <x v="0"/>
    <x v="0"/>
    <x v="0"/>
    <x v="1"/>
    <s v="No"/>
    <n v="3"/>
    <s v="CSR010"/>
    <x v="0"/>
    <x v="9"/>
    <n v="0"/>
    <n v="1"/>
  </r>
  <r>
    <n v="25"/>
    <x v="3"/>
    <n v="11.3"/>
    <x v="0"/>
    <x v="0"/>
    <x v="2"/>
    <x v="0"/>
    <s v="No"/>
    <n v="3"/>
    <s v="CSR006"/>
    <x v="0"/>
    <x v="7"/>
    <n v="0"/>
    <n v="1"/>
  </r>
  <r>
    <n v="26"/>
    <x v="0"/>
    <n v="17.8"/>
    <x v="1"/>
    <x v="0"/>
    <x v="2"/>
    <x v="0"/>
    <s v="No"/>
    <n v="2"/>
    <s v="CSR005"/>
    <x v="1"/>
    <x v="1"/>
    <n v="1"/>
    <n v="1"/>
  </r>
  <r>
    <n v="27"/>
    <x v="0"/>
    <n v="15.6"/>
    <x v="1"/>
    <x v="0"/>
    <x v="0"/>
    <x v="1"/>
    <s v="No"/>
    <n v="3"/>
    <s v="CSR006"/>
    <x v="1"/>
    <x v="5"/>
    <n v="1"/>
    <n v="1"/>
  </r>
  <r>
    <n v="28"/>
    <x v="1"/>
    <n v="13.5"/>
    <x v="0"/>
    <x v="0"/>
    <x v="1"/>
    <x v="0"/>
    <s v="No"/>
    <n v="4"/>
    <s v="CSR003"/>
    <x v="2"/>
    <x v="4"/>
    <n v="0"/>
    <n v="1"/>
  </r>
  <r>
    <n v="29"/>
    <x v="0"/>
    <n v="3.9"/>
    <x v="0"/>
    <x v="1"/>
    <x v="1"/>
    <x v="1"/>
    <s v="No"/>
    <n v="4"/>
    <s v="CSR012"/>
    <x v="1"/>
    <x v="1"/>
    <n v="0"/>
    <n v="0"/>
  </r>
  <r>
    <n v="30"/>
    <x v="3"/>
    <n v="3.7"/>
    <x v="0"/>
    <x v="0"/>
    <x v="0"/>
    <x v="1"/>
    <s v="No"/>
    <n v="4"/>
    <s v="CSR009"/>
    <x v="1"/>
    <x v="3"/>
    <n v="0"/>
    <n v="1"/>
  </r>
  <r>
    <n v="31"/>
    <x v="2"/>
    <n v="14"/>
    <x v="1"/>
    <x v="0"/>
    <x v="1"/>
    <x v="1"/>
    <s v="No"/>
    <n v="4"/>
    <s v="CSR020"/>
    <x v="0"/>
    <x v="4"/>
    <n v="1"/>
    <n v="1"/>
  </r>
  <r>
    <n v="32"/>
    <x v="3"/>
    <n v="5.8"/>
    <x v="1"/>
    <x v="0"/>
    <x v="1"/>
    <x v="1"/>
    <s v="Yes"/>
    <n v="5"/>
    <s v="CSR014"/>
    <x v="1"/>
    <x v="0"/>
    <n v="1"/>
    <n v="1"/>
  </r>
  <r>
    <n v="33"/>
    <x v="0"/>
    <n v="2.5"/>
    <x v="0"/>
    <x v="0"/>
    <x v="2"/>
    <x v="0"/>
    <s v="No"/>
    <n v="4"/>
    <s v="CSR010"/>
    <x v="1"/>
    <x v="10"/>
    <n v="0"/>
    <n v="1"/>
  </r>
  <r>
    <n v="34"/>
    <x v="2"/>
    <n v="17.100000000000001"/>
    <x v="0"/>
    <x v="0"/>
    <x v="0"/>
    <x v="1"/>
    <s v="No"/>
    <n v="3"/>
    <s v="CSR010"/>
    <x v="0"/>
    <x v="11"/>
    <n v="0"/>
    <n v="1"/>
  </r>
  <r>
    <n v="35"/>
    <x v="1"/>
    <n v="15.9"/>
    <x v="0"/>
    <x v="0"/>
    <x v="0"/>
    <x v="1"/>
    <s v="No"/>
    <n v="1"/>
    <s v="CSR020"/>
    <x v="0"/>
    <x v="7"/>
    <n v="0"/>
    <n v="1"/>
  </r>
  <r>
    <n v="36"/>
    <x v="0"/>
    <n v="13.5"/>
    <x v="0"/>
    <x v="1"/>
    <x v="3"/>
    <x v="1"/>
    <s v="No"/>
    <n v="2"/>
    <s v="CSR014"/>
    <x v="0"/>
    <x v="8"/>
    <n v="0"/>
    <n v="0"/>
  </r>
  <r>
    <n v="37"/>
    <x v="0"/>
    <n v="18.8"/>
    <x v="0"/>
    <x v="0"/>
    <x v="3"/>
    <x v="1"/>
    <s v="No"/>
    <n v="5"/>
    <s v="CSR015"/>
    <x v="2"/>
    <x v="5"/>
    <n v="0"/>
    <n v="1"/>
  </r>
  <r>
    <n v="38"/>
    <x v="1"/>
    <n v="15.9"/>
    <x v="0"/>
    <x v="0"/>
    <x v="3"/>
    <x v="0"/>
    <s v="No"/>
    <n v="4"/>
    <s v="CSR006"/>
    <x v="2"/>
    <x v="5"/>
    <n v="0"/>
    <n v="1"/>
  </r>
  <r>
    <n v="39"/>
    <x v="0"/>
    <n v="18.600000000000001"/>
    <x v="1"/>
    <x v="1"/>
    <x v="2"/>
    <x v="1"/>
    <s v="No"/>
    <n v="5"/>
    <s v="CSR019"/>
    <x v="1"/>
    <x v="9"/>
    <n v="1"/>
    <n v="0"/>
  </r>
  <r>
    <n v="40"/>
    <x v="0"/>
    <n v="13.1"/>
    <x v="0"/>
    <x v="0"/>
    <x v="1"/>
    <x v="1"/>
    <s v="No"/>
    <n v="4"/>
    <s v="CSR020"/>
    <x v="1"/>
    <x v="11"/>
    <n v="0"/>
    <n v="1"/>
  </r>
  <r>
    <n v="41"/>
    <x v="0"/>
    <n v="5.8"/>
    <x v="0"/>
    <x v="0"/>
    <x v="0"/>
    <x v="0"/>
    <s v="No"/>
    <n v="5"/>
    <s v="CSR003"/>
    <x v="1"/>
    <x v="10"/>
    <n v="0"/>
    <n v="1"/>
  </r>
  <r>
    <n v="42"/>
    <x v="2"/>
    <n v="5.7"/>
    <x v="1"/>
    <x v="0"/>
    <x v="1"/>
    <x v="0"/>
    <s v="No"/>
    <n v="1"/>
    <s v="CSR004"/>
    <x v="0"/>
    <x v="6"/>
    <n v="1"/>
    <n v="1"/>
  </r>
  <r>
    <n v="43"/>
    <x v="1"/>
    <n v="17.7"/>
    <x v="0"/>
    <x v="0"/>
    <x v="2"/>
    <x v="0"/>
    <s v="Yes"/>
    <n v="3"/>
    <s v="CSR006"/>
    <x v="0"/>
    <x v="7"/>
    <n v="0"/>
    <n v="1"/>
  </r>
  <r>
    <n v="44"/>
    <x v="3"/>
    <n v="12.5"/>
    <x v="0"/>
    <x v="1"/>
    <x v="3"/>
    <x v="1"/>
    <s v="No"/>
    <n v="4"/>
    <s v="CSR003"/>
    <x v="0"/>
    <x v="7"/>
    <n v="0"/>
    <n v="0"/>
  </r>
  <r>
    <n v="45"/>
    <x v="0"/>
    <n v="4.9000000000000004"/>
    <x v="0"/>
    <x v="0"/>
    <x v="3"/>
    <x v="0"/>
    <s v="No"/>
    <n v="2"/>
    <s v="CSR006"/>
    <x v="2"/>
    <x v="2"/>
    <n v="0"/>
    <n v="1"/>
  </r>
  <r>
    <n v="46"/>
    <x v="2"/>
    <n v="12.1"/>
    <x v="1"/>
    <x v="0"/>
    <x v="2"/>
    <x v="0"/>
    <s v="Yes"/>
    <n v="4"/>
    <s v="CSR011"/>
    <x v="0"/>
    <x v="7"/>
    <n v="1"/>
    <n v="1"/>
  </r>
  <r>
    <n v="47"/>
    <x v="0"/>
    <n v="12.3"/>
    <x v="1"/>
    <x v="0"/>
    <x v="2"/>
    <x v="1"/>
    <s v="Yes"/>
    <n v="2"/>
    <s v="CSR002"/>
    <x v="0"/>
    <x v="2"/>
    <n v="1"/>
    <n v="1"/>
  </r>
  <r>
    <n v="48"/>
    <x v="1"/>
    <n v="10.8"/>
    <x v="0"/>
    <x v="0"/>
    <x v="3"/>
    <x v="0"/>
    <s v="No"/>
    <n v="2"/>
    <s v="CSR004"/>
    <x v="2"/>
    <x v="1"/>
    <n v="0"/>
    <n v="1"/>
  </r>
  <r>
    <n v="49"/>
    <x v="2"/>
    <n v="17"/>
    <x v="0"/>
    <x v="1"/>
    <x v="2"/>
    <x v="0"/>
    <s v="No"/>
    <n v="4"/>
    <s v="CSR015"/>
    <x v="1"/>
    <x v="6"/>
    <n v="0"/>
    <n v="0"/>
  </r>
  <r>
    <n v="50"/>
    <x v="2"/>
    <n v="13.3"/>
    <x v="0"/>
    <x v="0"/>
    <x v="0"/>
    <x v="1"/>
    <s v="No"/>
    <n v="5"/>
    <s v="CSR020"/>
    <x v="2"/>
    <x v="3"/>
    <n v="0"/>
    <n v="1"/>
  </r>
  <r>
    <n v="51"/>
    <x v="1"/>
    <n v="2.2999999999999998"/>
    <x v="0"/>
    <x v="0"/>
    <x v="3"/>
    <x v="0"/>
    <s v="No"/>
    <n v="4"/>
    <s v="CSR007"/>
    <x v="1"/>
    <x v="1"/>
    <n v="0"/>
    <n v="1"/>
  </r>
  <r>
    <n v="52"/>
    <x v="0"/>
    <n v="8.1"/>
    <x v="1"/>
    <x v="0"/>
    <x v="3"/>
    <x v="2"/>
    <s v="No"/>
    <n v="5"/>
    <s v="CSR006"/>
    <x v="0"/>
    <x v="5"/>
    <n v="1"/>
    <n v="1"/>
  </r>
  <r>
    <n v="53"/>
    <x v="1"/>
    <n v="18.7"/>
    <x v="0"/>
    <x v="1"/>
    <x v="1"/>
    <x v="1"/>
    <s v="No"/>
    <n v="4"/>
    <s v="CSR010"/>
    <x v="1"/>
    <x v="0"/>
    <n v="0"/>
    <n v="0"/>
  </r>
  <r>
    <n v="54"/>
    <x v="0"/>
    <n v="6.1"/>
    <x v="0"/>
    <x v="1"/>
    <x v="0"/>
    <x v="0"/>
    <s v="No"/>
    <n v="5"/>
    <s v="CSR016"/>
    <x v="0"/>
    <x v="7"/>
    <n v="0"/>
    <n v="0"/>
  </r>
  <r>
    <n v="55"/>
    <x v="1"/>
    <n v="9.6999999999999993"/>
    <x v="0"/>
    <x v="0"/>
    <x v="0"/>
    <x v="1"/>
    <s v="No"/>
    <n v="4"/>
    <s v="CSR018"/>
    <x v="1"/>
    <x v="1"/>
    <n v="0"/>
    <n v="1"/>
  </r>
  <r>
    <n v="56"/>
    <x v="1"/>
    <n v="8.1"/>
    <x v="0"/>
    <x v="0"/>
    <x v="0"/>
    <x v="1"/>
    <s v="No"/>
    <n v="2"/>
    <s v="CSR010"/>
    <x v="1"/>
    <x v="9"/>
    <n v="0"/>
    <n v="1"/>
  </r>
  <r>
    <n v="57"/>
    <x v="2"/>
    <n v="6.5"/>
    <x v="1"/>
    <x v="0"/>
    <x v="3"/>
    <x v="0"/>
    <s v="No"/>
    <n v="4"/>
    <s v="CSR001"/>
    <x v="1"/>
    <x v="5"/>
    <n v="1"/>
    <n v="1"/>
  </r>
  <r>
    <n v="58"/>
    <x v="1"/>
    <n v="9.6"/>
    <x v="0"/>
    <x v="0"/>
    <x v="1"/>
    <x v="0"/>
    <s v="No"/>
    <n v="4"/>
    <s v="CSR008"/>
    <x v="0"/>
    <x v="9"/>
    <n v="0"/>
    <n v="1"/>
  </r>
  <r>
    <n v="59"/>
    <x v="2"/>
    <n v="10.3"/>
    <x v="1"/>
    <x v="1"/>
    <x v="2"/>
    <x v="0"/>
    <s v="Yes"/>
    <n v="5"/>
    <s v="CSR007"/>
    <x v="0"/>
    <x v="3"/>
    <n v="1"/>
    <n v="0"/>
  </r>
  <r>
    <n v="60"/>
    <x v="3"/>
    <n v="16.8"/>
    <x v="0"/>
    <x v="1"/>
    <x v="1"/>
    <x v="1"/>
    <s v="No"/>
    <n v="3"/>
    <s v="CSR002"/>
    <x v="2"/>
    <x v="1"/>
    <n v="0"/>
    <n v="0"/>
  </r>
  <r>
    <n v="61"/>
    <x v="0"/>
    <n v="6.3"/>
    <x v="0"/>
    <x v="1"/>
    <x v="2"/>
    <x v="0"/>
    <s v="No"/>
    <n v="5"/>
    <s v="CSR002"/>
    <x v="0"/>
    <x v="1"/>
    <n v="0"/>
    <n v="0"/>
  </r>
  <r>
    <n v="62"/>
    <x v="2"/>
    <n v="12"/>
    <x v="0"/>
    <x v="0"/>
    <x v="3"/>
    <x v="1"/>
    <s v="No"/>
    <n v="5"/>
    <s v="CSR010"/>
    <x v="2"/>
    <x v="2"/>
    <n v="0"/>
    <n v="1"/>
  </r>
  <r>
    <n v="63"/>
    <x v="0"/>
    <n v="10.6"/>
    <x v="0"/>
    <x v="0"/>
    <x v="0"/>
    <x v="1"/>
    <s v="No"/>
    <n v="3"/>
    <s v="CSR001"/>
    <x v="1"/>
    <x v="11"/>
    <n v="0"/>
    <n v="1"/>
  </r>
  <r>
    <n v="64"/>
    <x v="2"/>
    <n v="19"/>
    <x v="0"/>
    <x v="0"/>
    <x v="2"/>
    <x v="2"/>
    <s v="No"/>
    <n v="4"/>
    <s v="CSR003"/>
    <x v="0"/>
    <x v="6"/>
    <n v="0"/>
    <n v="1"/>
  </r>
  <r>
    <n v="65"/>
    <x v="3"/>
    <n v="8.9"/>
    <x v="0"/>
    <x v="0"/>
    <x v="1"/>
    <x v="0"/>
    <s v="No"/>
    <n v="2"/>
    <s v="CSR005"/>
    <x v="0"/>
    <x v="1"/>
    <n v="0"/>
    <n v="1"/>
  </r>
  <r>
    <n v="66"/>
    <x v="2"/>
    <n v="5.3"/>
    <x v="0"/>
    <x v="1"/>
    <x v="2"/>
    <x v="1"/>
    <s v="Yes"/>
    <n v="4"/>
    <s v="CSR020"/>
    <x v="1"/>
    <x v="3"/>
    <n v="0"/>
    <n v="0"/>
  </r>
  <r>
    <n v="67"/>
    <x v="0"/>
    <n v="8.3000000000000007"/>
    <x v="0"/>
    <x v="0"/>
    <x v="3"/>
    <x v="0"/>
    <s v="No"/>
    <n v="3"/>
    <s v="CSR011"/>
    <x v="2"/>
    <x v="0"/>
    <n v="0"/>
    <n v="1"/>
  </r>
  <r>
    <n v="68"/>
    <x v="2"/>
    <n v="3.6"/>
    <x v="0"/>
    <x v="0"/>
    <x v="0"/>
    <x v="2"/>
    <s v="No"/>
    <n v="4"/>
    <s v="CSR005"/>
    <x v="2"/>
    <x v="5"/>
    <n v="0"/>
    <n v="1"/>
  </r>
  <r>
    <n v="69"/>
    <x v="1"/>
    <n v="19.600000000000001"/>
    <x v="0"/>
    <x v="0"/>
    <x v="1"/>
    <x v="0"/>
    <s v="Yes"/>
    <n v="3"/>
    <s v="CSR002"/>
    <x v="2"/>
    <x v="5"/>
    <n v="0"/>
    <n v="1"/>
  </r>
  <r>
    <n v="70"/>
    <x v="0"/>
    <n v="13"/>
    <x v="0"/>
    <x v="0"/>
    <x v="0"/>
    <x v="1"/>
    <s v="No"/>
    <n v="3"/>
    <s v="CSR020"/>
    <x v="2"/>
    <x v="10"/>
    <n v="0"/>
    <n v="1"/>
  </r>
  <r>
    <n v="71"/>
    <x v="2"/>
    <n v="2.1"/>
    <x v="0"/>
    <x v="0"/>
    <x v="0"/>
    <x v="0"/>
    <s v="No"/>
    <n v="3"/>
    <s v="CSR003"/>
    <x v="2"/>
    <x v="8"/>
    <n v="0"/>
    <n v="1"/>
  </r>
  <r>
    <n v="72"/>
    <x v="0"/>
    <n v="2.2000000000000002"/>
    <x v="0"/>
    <x v="1"/>
    <x v="3"/>
    <x v="1"/>
    <s v="No"/>
    <n v="1"/>
    <s v="CSR002"/>
    <x v="1"/>
    <x v="3"/>
    <n v="0"/>
    <n v="0"/>
  </r>
  <r>
    <n v="73"/>
    <x v="0"/>
    <n v="16.8"/>
    <x v="0"/>
    <x v="0"/>
    <x v="1"/>
    <x v="1"/>
    <s v="No"/>
    <n v="3"/>
    <s v="CSR008"/>
    <x v="1"/>
    <x v="4"/>
    <n v="0"/>
    <n v="1"/>
  </r>
  <r>
    <n v="74"/>
    <x v="0"/>
    <n v="16.100000000000001"/>
    <x v="0"/>
    <x v="1"/>
    <x v="1"/>
    <x v="1"/>
    <s v="No"/>
    <n v="5"/>
    <s v="CSR009"/>
    <x v="0"/>
    <x v="0"/>
    <n v="0"/>
    <n v="0"/>
  </r>
  <r>
    <n v="75"/>
    <x v="1"/>
    <n v="3.1"/>
    <x v="0"/>
    <x v="0"/>
    <x v="1"/>
    <x v="1"/>
    <s v="Yes"/>
    <n v="4"/>
    <s v="CSR016"/>
    <x v="1"/>
    <x v="1"/>
    <n v="0"/>
    <n v="1"/>
  </r>
  <r>
    <n v="76"/>
    <x v="3"/>
    <n v="17.5"/>
    <x v="0"/>
    <x v="1"/>
    <x v="1"/>
    <x v="1"/>
    <s v="No"/>
    <n v="5"/>
    <s v="CSR001"/>
    <x v="1"/>
    <x v="7"/>
    <n v="0"/>
    <n v="0"/>
  </r>
  <r>
    <n v="77"/>
    <x v="3"/>
    <n v="10.6"/>
    <x v="0"/>
    <x v="0"/>
    <x v="3"/>
    <x v="0"/>
    <s v="No"/>
    <n v="3"/>
    <s v="CSR013"/>
    <x v="0"/>
    <x v="1"/>
    <n v="0"/>
    <n v="1"/>
  </r>
  <r>
    <n v="78"/>
    <x v="1"/>
    <n v="2.2000000000000002"/>
    <x v="0"/>
    <x v="0"/>
    <x v="1"/>
    <x v="0"/>
    <s v="No"/>
    <n v="3"/>
    <s v="CSR007"/>
    <x v="0"/>
    <x v="3"/>
    <n v="0"/>
    <n v="1"/>
  </r>
  <r>
    <n v="79"/>
    <x v="3"/>
    <n v="17.2"/>
    <x v="0"/>
    <x v="0"/>
    <x v="1"/>
    <x v="1"/>
    <s v="Yes"/>
    <n v="4"/>
    <s v="CSR020"/>
    <x v="2"/>
    <x v="7"/>
    <n v="0"/>
    <n v="1"/>
  </r>
  <r>
    <n v="80"/>
    <x v="3"/>
    <n v="18.600000000000001"/>
    <x v="1"/>
    <x v="0"/>
    <x v="3"/>
    <x v="1"/>
    <s v="Yes"/>
    <n v="4"/>
    <s v="CSR008"/>
    <x v="0"/>
    <x v="0"/>
    <n v="1"/>
    <n v="1"/>
  </r>
  <r>
    <n v="81"/>
    <x v="2"/>
    <n v="13"/>
    <x v="0"/>
    <x v="1"/>
    <x v="3"/>
    <x v="0"/>
    <s v="No"/>
    <n v="4"/>
    <s v="CSR015"/>
    <x v="0"/>
    <x v="1"/>
    <n v="0"/>
    <n v="0"/>
  </r>
  <r>
    <n v="82"/>
    <x v="2"/>
    <n v="4.7"/>
    <x v="1"/>
    <x v="0"/>
    <x v="2"/>
    <x v="2"/>
    <s v="No"/>
    <n v="3"/>
    <s v="CSR019"/>
    <x v="2"/>
    <x v="10"/>
    <n v="1"/>
    <n v="1"/>
  </r>
  <r>
    <n v="83"/>
    <x v="3"/>
    <n v="5.8"/>
    <x v="0"/>
    <x v="0"/>
    <x v="3"/>
    <x v="1"/>
    <s v="No"/>
    <n v="5"/>
    <s v="CSR013"/>
    <x v="2"/>
    <x v="6"/>
    <n v="0"/>
    <n v="1"/>
  </r>
  <r>
    <n v="84"/>
    <x v="3"/>
    <n v="11.6"/>
    <x v="0"/>
    <x v="1"/>
    <x v="2"/>
    <x v="1"/>
    <s v="No"/>
    <n v="3"/>
    <s v="CSR015"/>
    <x v="2"/>
    <x v="8"/>
    <n v="0"/>
    <n v="0"/>
  </r>
  <r>
    <n v="85"/>
    <x v="0"/>
    <n v="5.8"/>
    <x v="1"/>
    <x v="1"/>
    <x v="2"/>
    <x v="1"/>
    <s v="No"/>
    <n v="4"/>
    <s v="CSR005"/>
    <x v="2"/>
    <x v="10"/>
    <n v="1"/>
    <n v="0"/>
  </r>
  <r>
    <n v="86"/>
    <x v="1"/>
    <n v="6.6"/>
    <x v="0"/>
    <x v="0"/>
    <x v="0"/>
    <x v="0"/>
    <s v="No"/>
    <n v="2"/>
    <s v="CSR014"/>
    <x v="0"/>
    <x v="4"/>
    <n v="0"/>
    <n v="1"/>
  </r>
  <r>
    <n v="87"/>
    <x v="3"/>
    <n v="17.2"/>
    <x v="0"/>
    <x v="0"/>
    <x v="3"/>
    <x v="1"/>
    <s v="No"/>
    <n v="4"/>
    <s v="CSR001"/>
    <x v="0"/>
    <x v="3"/>
    <n v="0"/>
    <n v="1"/>
  </r>
  <r>
    <n v="88"/>
    <x v="1"/>
    <n v="19.2"/>
    <x v="0"/>
    <x v="0"/>
    <x v="3"/>
    <x v="2"/>
    <s v="No"/>
    <n v="5"/>
    <s v="CSR016"/>
    <x v="1"/>
    <x v="6"/>
    <n v="0"/>
    <n v="1"/>
  </r>
  <r>
    <n v="89"/>
    <x v="3"/>
    <n v="7.5"/>
    <x v="0"/>
    <x v="0"/>
    <x v="0"/>
    <x v="0"/>
    <s v="No"/>
    <n v="5"/>
    <s v="CSR015"/>
    <x v="1"/>
    <x v="2"/>
    <n v="0"/>
    <n v="1"/>
  </r>
  <r>
    <n v="90"/>
    <x v="3"/>
    <n v="4.3"/>
    <x v="0"/>
    <x v="0"/>
    <x v="3"/>
    <x v="2"/>
    <s v="No"/>
    <n v="4"/>
    <s v="CSR011"/>
    <x v="1"/>
    <x v="5"/>
    <n v="0"/>
    <n v="1"/>
  </r>
  <r>
    <n v="91"/>
    <x v="2"/>
    <n v="17.899999999999999"/>
    <x v="0"/>
    <x v="0"/>
    <x v="3"/>
    <x v="0"/>
    <s v="No"/>
    <n v="4"/>
    <s v="CSR005"/>
    <x v="1"/>
    <x v="3"/>
    <n v="0"/>
    <n v="1"/>
  </r>
  <r>
    <n v="92"/>
    <x v="2"/>
    <n v="14.5"/>
    <x v="0"/>
    <x v="0"/>
    <x v="3"/>
    <x v="1"/>
    <s v="Yes"/>
    <n v="3"/>
    <s v="CSR018"/>
    <x v="2"/>
    <x v="9"/>
    <n v="0"/>
    <n v="1"/>
  </r>
  <r>
    <n v="93"/>
    <x v="0"/>
    <n v="11.6"/>
    <x v="0"/>
    <x v="0"/>
    <x v="2"/>
    <x v="1"/>
    <s v="No"/>
    <n v="5"/>
    <s v="CSR006"/>
    <x v="0"/>
    <x v="5"/>
    <n v="0"/>
    <n v="1"/>
  </r>
  <r>
    <n v="94"/>
    <x v="3"/>
    <n v="7.9"/>
    <x v="0"/>
    <x v="0"/>
    <x v="0"/>
    <x v="1"/>
    <s v="No"/>
    <n v="4"/>
    <s v="CSR007"/>
    <x v="0"/>
    <x v="8"/>
    <n v="0"/>
    <n v="1"/>
  </r>
  <r>
    <n v="95"/>
    <x v="1"/>
    <n v="3.3"/>
    <x v="0"/>
    <x v="1"/>
    <x v="2"/>
    <x v="2"/>
    <s v="Yes"/>
    <n v="4"/>
    <s v="CSR006"/>
    <x v="1"/>
    <x v="1"/>
    <n v="0"/>
    <n v="0"/>
  </r>
  <r>
    <n v="96"/>
    <x v="2"/>
    <n v="3.8"/>
    <x v="0"/>
    <x v="0"/>
    <x v="3"/>
    <x v="2"/>
    <s v="No"/>
    <n v="5"/>
    <s v="CSR008"/>
    <x v="0"/>
    <x v="0"/>
    <n v="0"/>
    <n v="1"/>
  </r>
  <r>
    <n v="97"/>
    <x v="2"/>
    <n v="12.7"/>
    <x v="1"/>
    <x v="1"/>
    <x v="2"/>
    <x v="0"/>
    <s v="No"/>
    <n v="1"/>
    <s v="CSR010"/>
    <x v="1"/>
    <x v="2"/>
    <n v="1"/>
    <n v="0"/>
  </r>
  <r>
    <n v="98"/>
    <x v="2"/>
    <n v="4.4000000000000004"/>
    <x v="1"/>
    <x v="0"/>
    <x v="3"/>
    <x v="0"/>
    <s v="No"/>
    <n v="3"/>
    <s v="CSR015"/>
    <x v="1"/>
    <x v="0"/>
    <n v="1"/>
    <n v="1"/>
  </r>
  <r>
    <n v="99"/>
    <x v="0"/>
    <n v="8.9"/>
    <x v="0"/>
    <x v="1"/>
    <x v="1"/>
    <x v="0"/>
    <s v="No"/>
    <n v="1"/>
    <s v="CSR005"/>
    <x v="1"/>
    <x v="8"/>
    <n v="0"/>
    <n v="0"/>
  </r>
  <r>
    <n v="100"/>
    <x v="0"/>
    <n v="7.5"/>
    <x v="0"/>
    <x v="1"/>
    <x v="2"/>
    <x v="0"/>
    <s v="No"/>
    <n v="2"/>
    <s v="CSR009"/>
    <x v="0"/>
    <x v="8"/>
    <n v="0"/>
    <n v="0"/>
  </r>
  <r>
    <n v="101"/>
    <x v="0"/>
    <n v="7.7"/>
    <x v="0"/>
    <x v="0"/>
    <x v="1"/>
    <x v="1"/>
    <s v="No"/>
    <n v="5"/>
    <s v="CSR005"/>
    <x v="1"/>
    <x v="0"/>
    <n v="0"/>
    <n v="1"/>
  </r>
  <r>
    <n v="102"/>
    <x v="2"/>
    <n v="8.1999999999999993"/>
    <x v="0"/>
    <x v="1"/>
    <x v="2"/>
    <x v="1"/>
    <s v="No"/>
    <n v="4"/>
    <s v="CSR003"/>
    <x v="2"/>
    <x v="7"/>
    <n v="0"/>
    <n v="0"/>
  </r>
  <r>
    <n v="103"/>
    <x v="1"/>
    <n v="7.7"/>
    <x v="1"/>
    <x v="0"/>
    <x v="3"/>
    <x v="0"/>
    <s v="Yes"/>
    <n v="4"/>
    <s v="CSR015"/>
    <x v="0"/>
    <x v="0"/>
    <n v="1"/>
    <n v="1"/>
  </r>
  <r>
    <n v="104"/>
    <x v="2"/>
    <n v="19.100000000000001"/>
    <x v="1"/>
    <x v="0"/>
    <x v="3"/>
    <x v="1"/>
    <s v="No"/>
    <n v="4"/>
    <s v="CSR003"/>
    <x v="1"/>
    <x v="0"/>
    <n v="1"/>
    <n v="1"/>
  </r>
  <r>
    <n v="105"/>
    <x v="3"/>
    <n v="18.8"/>
    <x v="0"/>
    <x v="0"/>
    <x v="0"/>
    <x v="2"/>
    <s v="No"/>
    <n v="5"/>
    <s v="CSR020"/>
    <x v="2"/>
    <x v="5"/>
    <n v="0"/>
    <n v="1"/>
  </r>
  <r>
    <n v="106"/>
    <x v="0"/>
    <n v="16.8"/>
    <x v="0"/>
    <x v="0"/>
    <x v="1"/>
    <x v="1"/>
    <s v="No"/>
    <n v="5"/>
    <s v="CSR011"/>
    <x v="2"/>
    <x v="8"/>
    <n v="0"/>
    <n v="1"/>
  </r>
  <r>
    <n v="107"/>
    <x v="1"/>
    <n v="3.9"/>
    <x v="0"/>
    <x v="0"/>
    <x v="1"/>
    <x v="1"/>
    <s v="No"/>
    <n v="5"/>
    <s v="CSR012"/>
    <x v="2"/>
    <x v="5"/>
    <n v="0"/>
    <n v="1"/>
  </r>
  <r>
    <n v="108"/>
    <x v="0"/>
    <n v="3.2"/>
    <x v="0"/>
    <x v="1"/>
    <x v="0"/>
    <x v="1"/>
    <s v="No"/>
    <n v="5"/>
    <s v="CSR011"/>
    <x v="1"/>
    <x v="3"/>
    <n v="0"/>
    <n v="0"/>
  </r>
  <r>
    <n v="109"/>
    <x v="1"/>
    <n v="11.4"/>
    <x v="0"/>
    <x v="0"/>
    <x v="3"/>
    <x v="1"/>
    <s v="No"/>
    <n v="3"/>
    <s v="CSR005"/>
    <x v="1"/>
    <x v="4"/>
    <n v="0"/>
    <n v="1"/>
  </r>
  <r>
    <n v="110"/>
    <x v="3"/>
    <n v="12.4"/>
    <x v="0"/>
    <x v="1"/>
    <x v="0"/>
    <x v="0"/>
    <s v="Yes"/>
    <n v="5"/>
    <s v="CSR017"/>
    <x v="2"/>
    <x v="11"/>
    <n v="0"/>
    <n v="0"/>
  </r>
  <r>
    <n v="111"/>
    <x v="2"/>
    <n v="18.2"/>
    <x v="0"/>
    <x v="1"/>
    <x v="0"/>
    <x v="1"/>
    <s v="No"/>
    <n v="3"/>
    <s v="CSR018"/>
    <x v="1"/>
    <x v="6"/>
    <n v="0"/>
    <n v="0"/>
  </r>
  <r>
    <n v="112"/>
    <x v="0"/>
    <n v="15.5"/>
    <x v="0"/>
    <x v="0"/>
    <x v="2"/>
    <x v="1"/>
    <s v="No"/>
    <n v="4"/>
    <s v="CSR005"/>
    <x v="0"/>
    <x v="9"/>
    <n v="0"/>
    <n v="1"/>
  </r>
  <r>
    <n v="113"/>
    <x v="1"/>
    <n v="8.6999999999999993"/>
    <x v="0"/>
    <x v="0"/>
    <x v="2"/>
    <x v="1"/>
    <s v="No"/>
    <n v="3"/>
    <s v="CSR014"/>
    <x v="2"/>
    <x v="1"/>
    <n v="0"/>
    <n v="1"/>
  </r>
  <r>
    <n v="114"/>
    <x v="2"/>
    <n v="11.3"/>
    <x v="0"/>
    <x v="1"/>
    <x v="0"/>
    <x v="1"/>
    <s v="No"/>
    <n v="5"/>
    <s v="CSR009"/>
    <x v="2"/>
    <x v="7"/>
    <n v="0"/>
    <n v="0"/>
  </r>
  <r>
    <n v="115"/>
    <x v="1"/>
    <n v="10.4"/>
    <x v="0"/>
    <x v="0"/>
    <x v="2"/>
    <x v="0"/>
    <s v="Yes"/>
    <n v="4"/>
    <s v="CSR010"/>
    <x v="1"/>
    <x v="2"/>
    <n v="0"/>
    <n v="1"/>
  </r>
  <r>
    <n v="116"/>
    <x v="0"/>
    <n v="12.4"/>
    <x v="0"/>
    <x v="0"/>
    <x v="0"/>
    <x v="1"/>
    <s v="No"/>
    <n v="5"/>
    <s v="CSR003"/>
    <x v="0"/>
    <x v="11"/>
    <n v="0"/>
    <n v="1"/>
  </r>
  <r>
    <n v="117"/>
    <x v="2"/>
    <n v="10.5"/>
    <x v="0"/>
    <x v="0"/>
    <x v="3"/>
    <x v="1"/>
    <s v="Yes"/>
    <n v="4"/>
    <s v="CSR018"/>
    <x v="0"/>
    <x v="1"/>
    <n v="0"/>
    <n v="1"/>
  </r>
  <r>
    <n v="118"/>
    <x v="0"/>
    <n v="16.5"/>
    <x v="0"/>
    <x v="0"/>
    <x v="2"/>
    <x v="0"/>
    <s v="No"/>
    <n v="4"/>
    <s v="CSR005"/>
    <x v="1"/>
    <x v="10"/>
    <n v="0"/>
    <n v="1"/>
  </r>
  <r>
    <n v="119"/>
    <x v="0"/>
    <n v="15.1"/>
    <x v="0"/>
    <x v="0"/>
    <x v="0"/>
    <x v="1"/>
    <s v="No"/>
    <n v="5"/>
    <s v="CSR017"/>
    <x v="1"/>
    <x v="7"/>
    <n v="0"/>
    <n v="1"/>
  </r>
  <r>
    <n v="120"/>
    <x v="2"/>
    <n v="10.1"/>
    <x v="0"/>
    <x v="0"/>
    <x v="0"/>
    <x v="1"/>
    <s v="No"/>
    <n v="3"/>
    <s v="CSR010"/>
    <x v="1"/>
    <x v="11"/>
    <n v="0"/>
    <n v="1"/>
  </r>
  <r>
    <n v="121"/>
    <x v="2"/>
    <n v="16.8"/>
    <x v="0"/>
    <x v="0"/>
    <x v="3"/>
    <x v="0"/>
    <s v="No"/>
    <n v="3"/>
    <s v="CSR008"/>
    <x v="0"/>
    <x v="5"/>
    <n v="0"/>
    <n v="1"/>
  </r>
  <r>
    <n v="122"/>
    <x v="3"/>
    <n v="4.0999999999999996"/>
    <x v="0"/>
    <x v="1"/>
    <x v="0"/>
    <x v="1"/>
    <s v="No"/>
    <n v="2"/>
    <s v="CSR016"/>
    <x v="0"/>
    <x v="7"/>
    <n v="0"/>
    <n v="0"/>
  </r>
  <r>
    <n v="123"/>
    <x v="0"/>
    <n v="7.9"/>
    <x v="1"/>
    <x v="0"/>
    <x v="0"/>
    <x v="0"/>
    <s v="No"/>
    <n v="3"/>
    <s v="CSR013"/>
    <x v="2"/>
    <x v="9"/>
    <n v="1"/>
    <n v="1"/>
  </r>
  <r>
    <n v="124"/>
    <x v="1"/>
    <n v="4.8"/>
    <x v="0"/>
    <x v="0"/>
    <x v="1"/>
    <x v="1"/>
    <s v="No"/>
    <n v="3"/>
    <s v="CSR001"/>
    <x v="0"/>
    <x v="1"/>
    <n v="0"/>
    <n v="1"/>
  </r>
  <r>
    <n v="125"/>
    <x v="3"/>
    <n v="6.4"/>
    <x v="0"/>
    <x v="0"/>
    <x v="0"/>
    <x v="1"/>
    <s v="No"/>
    <n v="4"/>
    <s v="CSR003"/>
    <x v="1"/>
    <x v="6"/>
    <n v="0"/>
    <n v="1"/>
  </r>
  <r>
    <n v="126"/>
    <x v="0"/>
    <n v="7.8"/>
    <x v="0"/>
    <x v="1"/>
    <x v="3"/>
    <x v="1"/>
    <s v="No"/>
    <n v="5"/>
    <s v="CSR011"/>
    <x v="0"/>
    <x v="0"/>
    <n v="0"/>
    <n v="0"/>
  </r>
  <r>
    <n v="127"/>
    <x v="3"/>
    <n v="6.3"/>
    <x v="1"/>
    <x v="0"/>
    <x v="3"/>
    <x v="2"/>
    <s v="No"/>
    <n v="4"/>
    <s v="CSR003"/>
    <x v="0"/>
    <x v="4"/>
    <n v="1"/>
    <n v="1"/>
  </r>
  <r>
    <n v="128"/>
    <x v="3"/>
    <n v="9.9"/>
    <x v="0"/>
    <x v="0"/>
    <x v="1"/>
    <x v="1"/>
    <s v="No"/>
    <n v="3"/>
    <s v="CSR006"/>
    <x v="1"/>
    <x v="11"/>
    <n v="0"/>
    <n v="1"/>
  </r>
  <r>
    <n v="129"/>
    <x v="0"/>
    <n v="16.600000000000001"/>
    <x v="0"/>
    <x v="0"/>
    <x v="1"/>
    <x v="0"/>
    <s v="No"/>
    <n v="5"/>
    <s v="CSR015"/>
    <x v="1"/>
    <x v="7"/>
    <n v="0"/>
    <n v="1"/>
  </r>
  <r>
    <n v="130"/>
    <x v="1"/>
    <n v="16.8"/>
    <x v="0"/>
    <x v="1"/>
    <x v="2"/>
    <x v="1"/>
    <s v="Yes"/>
    <n v="5"/>
    <s v="CSR012"/>
    <x v="2"/>
    <x v="5"/>
    <n v="0"/>
    <n v="0"/>
  </r>
  <r>
    <n v="131"/>
    <x v="2"/>
    <n v="5.0999999999999996"/>
    <x v="1"/>
    <x v="0"/>
    <x v="3"/>
    <x v="0"/>
    <s v="No"/>
    <n v="4"/>
    <s v="CSR010"/>
    <x v="0"/>
    <x v="10"/>
    <n v="1"/>
    <n v="1"/>
  </r>
  <r>
    <n v="132"/>
    <x v="0"/>
    <n v="5"/>
    <x v="0"/>
    <x v="0"/>
    <x v="0"/>
    <x v="2"/>
    <s v="No"/>
    <n v="5"/>
    <s v="CSR014"/>
    <x v="2"/>
    <x v="3"/>
    <n v="0"/>
    <n v="1"/>
  </r>
  <r>
    <n v="133"/>
    <x v="1"/>
    <n v="4.3"/>
    <x v="0"/>
    <x v="0"/>
    <x v="0"/>
    <x v="1"/>
    <s v="No"/>
    <n v="5"/>
    <s v="CSR002"/>
    <x v="1"/>
    <x v="1"/>
    <n v="0"/>
    <n v="1"/>
  </r>
  <r>
    <n v="134"/>
    <x v="0"/>
    <n v="15"/>
    <x v="0"/>
    <x v="0"/>
    <x v="0"/>
    <x v="1"/>
    <s v="No"/>
    <n v="4"/>
    <s v="CSR010"/>
    <x v="2"/>
    <x v="7"/>
    <n v="0"/>
    <n v="1"/>
  </r>
  <r>
    <n v="135"/>
    <x v="3"/>
    <n v="18.7"/>
    <x v="0"/>
    <x v="1"/>
    <x v="2"/>
    <x v="0"/>
    <s v="No"/>
    <n v="4"/>
    <s v="CSR010"/>
    <x v="0"/>
    <x v="3"/>
    <n v="0"/>
    <n v="0"/>
  </r>
  <r>
    <n v="136"/>
    <x v="2"/>
    <n v="19.399999999999999"/>
    <x v="0"/>
    <x v="1"/>
    <x v="2"/>
    <x v="1"/>
    <s v="Yes"/>
    <n v="5"/>
    <s v="CSR006"/>
    <x v="2"/>
    <x v="9"/>
    <n v="0"/>
    <n v="0"/>
  </r>
  <r>
    <n v="137"/>
    <x v="0"/>
    <n v="17.100000000000001"/>
    <x v="0"/>
    <x v="1"/>
    <x v="1"/>
    <x v="0"/>
    <s v="No"/>
    <n v="4"/>
    <s v="CSR010"/>
    <x v="0"/>
    <x v="11"/>
    <n v="0"/>
    <n v="0"/>
  </r>
  <r>
    <n v="138"/>
    <x v="3"/>
    <n v="13.8"/>
    <x v="0"/>
    <x v="1"/>
    <x v="3"/>
    <x v="0"/>
    <s v="Yes"/>
    <n v="5"/>
    <s v="CSR010"/>
    <x v="1"/>
    <x v="4"/>
    <n v="0"/>
    <n v="0"/>
  </r>
  <r>
    <n v="139"/>
    <x v="3"/>
    <n v="12.5"/>
    <x v="0"/>
    <x v="0"/>
    <x v="3"/>
    <x v="1"/>
    <s v="No"/>
    <n v="5"/>
    <s v="CSR016"/>
    <x v="1"/>
    <x v="3"/>
    <n v="0"/>
    <n v="1"/>
  </r>
  <r>
    <n v="140"/>
    <x v="2"/>
    <n v="4.8"/>
    <x v="1"/>
    <x v="0"/>
    <x v="3"/>
    <x v="0"/>
    <s v="No"/>
    <n v="5"/>
    <s v="CSR008"/>
    <x v="2"/>
    <x v="3"/>
    <n v="1"/>
    <n v="1"/>
  </r>
  <r>
    <n v="141"/>
    <x v="0"/>
    <n v="3.7"/>
    <x v="0"/>
    <x v="1"/>
    <x v="0"/>
    <x v="1"/>
    <s v="Yes"/>
    <n v="4"/>
    <s v="CSR019"/>
    <x v="2"/>
    <x v="2"/>
    <n v="0"/>
    <n v="0"/>
  </r>
  <r>
    <n v="142"/>
    <x v="0"/>
    <n v="14.4"/>
    <x v="0"/>
    <x v="0"/>
    <x v="2"/>
    <x v="2"/>
    <s v="Yes"/>
    <n v="4"/>
    <s v="CSR006"/>
    <x v="0"/>
    <x v="9"/>
    <n v="0"/>
    <n v="1"/>
  </r>
  <r>
    <n v="143"/>
    <x v="0"/>
    <n v="19.399999999999999"/>
    <x v="0"/>
    <x v="1"/>
    <x v="1"/>
    <x v="1"/>
    <s v="Yes"/>
    <n v="4"/>
    <s v="CSR020"/>
    <x v="1"/>
    <x v="3"/>
    <n v="0"/>
    <n v="0"/>
  </r>
  <r>
    <n v="144"/>
    <x v="2"/>
    <n v="5.3"/>
    <x v="0"/>
    <x v="0"/>
    <x v="3"/>
    <x v="1"/>
    <s v="No"/>
    <n v="4"/>
    <s v="CSR009"/>
    <x v="2"/>
    <x v="9"/>
    <n v="0"/>
    <n v="1"/>
  </r>
  <r>
    <n v="145"/>
    <x v="0"/>
    <n v="10.6"/>
    <x v="0"/>
    <x v="0"/>
    <x v="1"/>
    <x v="1"/>
    <s v="No"/>
    <n v="3"/>
    <s v="CSR007"/>
    <x v="1"/>
    <x v="5"/>
    <n v="0"/>
    <n v="1"/>
  </r>
  <r>
    <n v="146"/>
    <x v="3"/>
    <n v="17.3"/>
    <x v="0"/>
    <x v="0"/>
    <x v="0"/>
    <x v="0"/>
    <s v="No"/>
    <n v="4"/>
    <s v="CSR001"/>
    <x v="2"/>
    <x v="9"/>
    <n v="0"/>
    <n v="1"/>
  </r>
  <r>
    <n v="147"/>
    <x v="0"/>
    <n v="5.4"/>
    <x v="0"/>
    <x v="0"/>
    <x v="0"/>
    <x v="0"/>
    <s v="No"/>
    <n v="4"/>
    <s v="CSR020"/>
    <x v="0"/>
    <x v="3"/>
    <n v="0"/>
    <n v="1"/>
  </r>
  <r>
    <n v="148"/>
    <x v="1"/>
    <n v="8.5"/>
    <x v="0"/>
    <x v="0"/>
    <x v="3"/>
    <x v="1"/>
    <s v="No"/>
    <n v="4"/>
    <s v="CSR011"/>
    <x v="1"/>
    <x v="6"/>
    <n v="0"/>
    <n v="1"/>
  </r>
  <r>
    <n v="149"/>
    <x v="0"/>
    <n v="4.4000000000000004"/>
    <x v="0"/>
    <x v="1"/>
    <x v="3"/>
    <x v="2"/>
    <s v="No"/>
    <n v="4"/>
    <s v="CSR005"/>
    <x v="1"/>
    <x v="9"/>
    <n v="0"/>
    <n v="0"/>
  </r>
  <r>
    <n v="150"/>
    <x v="0"/>
    <n v="2.2999999999999998"/>
    <x v="0"/>
    <x v="0"/>
    <x v="2"/>
    <x v="1"/>
    <s v="No"/>
    <n v="2"/>
    <s v="CSR014"/>
    <x v="2"/>
    <x v="0"/>
    <n v="0"/>
    <n v="1"/>
  </r>
  <r>
    <n v="151"/>
    <x v="3"/>
    <n v="10"/>
    <x v="0"/>
    <x v="0"/>
    <x v="0"/>
    <x v="1"/>
    <s v="No"/>
    <n v="4"/>
    <s v="CSR004"/>
    <x v="0"/>
    <x v="9"/>
    <n v="0"/>
    <n v="1"/>
  </r>
  <r>
    <n v="152"/>
    <x v="0"/>
    <n v="16.7"/>
    <x v="0"/>
    <x v="1"/>
    <x v="2"/>
    <x v="1"/>
    <s v="No"/>
    <n v="5"/>
    <s v="CSR013"/>
    <x v="1"/>
    <x v="10"/>
    <n v="0"/>
    <n v="0"/>
  </r>
  <r>
    <n v="153"/>
    <x v="3"/>
    <n v="16.8"/>
    <x v="0"/>
    <x v="0"/>
    <x v="3"/>
    <x v="0"/>
    <s v="Yes"/>
    <n v="4"/>
    <s v="CSR012"/>
    <x v="2"/>
    <x v="8"/>
    <n v="0"/>
    <n v="1"/>
  </r>
  <r>
    <n v="154"/>
    <x v="1"/>
    <n v="8.8000000000000007"/>
    <x v="0"/>
    <x v="1"/>
    <x v="1"/>
    <x v="0"/>
    <s v="No"/>
    <n v="5"/>
    <s v="CSR013"/>
    <x v="0"/>
    <x v="3"/>
    <n v="0"/>
    <n v="0"/>
  </r>
  <r>
    <n v="155"/>
    <x v="0"/>
    <n v="14.3"/>
    <x v="0"/>
    <x v="1"/>
    <x v="1"/>
    <x v="1"/>
    <s v="No"/>
    <n v="4"/>
    <s v="CSR012"/>
    <x v="2"/>
    <x v="8"/>
    <n v="0"/>
    <n v="0"/>
  </r>
  <r>
    <n v="156"/>
    <x v="2"/>
    <n v="15.5"/>
    <x v="0"/>
    <x v="0"/>
    <x v="1"/>
    <x v="0"/>
    <s v="No"/>
    <n v="4"/>
    <s v="CSR019"/>
    <x v="2"/>
    <x v="2"/>
    <n v="0"/>
    <n v="1"/>
  </r>
  <r>
    <n v="157"/>
    <x v="2"/>
    <n v="6.7"/>
    <x v="0"/>
    <x v="0"/>
    <x v="2"/>
    <x v="1"/>
    <s v="Yes"/>
    <n v="3"/>
    <s v="CSR013"/>
    <x v="1"/>
    <x v="2"/>
    <n v="0"/>
    <n v="1"/>
  </r>
  <r>
    <n v="158"/>
    <x v="0"/>
    <n v="4.9000000000000004"/>
    <x v="0"/>
    <x v="0"/>
    <x v="2"/>
    <x v="1"/>
    <s v="No"/>
    <n v="4"/>
    <s v="CSR016"/>
    <x v="2"/>
    <x v="6"/>
    <n v="0"/>
    <n v="1"/>
  </r>
  <r>
    <n v="159"/>
    <x v="2"/>
    <n v="16.3"/>
    <x v="1"/>
    <x v="1"/>
    <x v="0"/>
    <x v="1"/>
    <s v="No"/>
    <n v="5"/>
    <s v="CSR002"/>
    <x v="2"/>
    <x v="7"/>
    <n v="1"/>
    <n v="0"/>
  </r>
  <r>
    <n v="160"/>
    <x v="2"/>
    <n v="3.5"/>
    <x v="0"/>
    <x v="0"/>
    <x v="2"/>
    <x v="1"/>
    <s v="Yes"/>
    <n v="4"/>
    <s v="CSR013"/>
    <x v="0"/>
    <x v="2"/>
    <n v="0"/>
    <n v="1"/>
  </r>
  <r>
    <n v="161"/>
    <x v="0"/>
    <n v="9.9"/>
    <x v="0"/>
    <x v="1"/>
    <x v="1"/>
    <x v="0"/>
    <s v="No"/>
    <n v="4"/>
    <s v="CSR001"/>
    <x v="0"/>
    <x v="8"/>
    <n v="0"/>
    <n v="0"/>
  </r>
  <r>
    <n v="162"/>
    <x v="2"/>
    <n v="8.1"/>
    <x v="1"/>
    <x v="1"/>
    <x v="3"/>
    <x v="2"/>
    <s v="Yes"/>
    <n v="3"/>
    <s v="CSR015"/>
    <x v="1"/>
    <x v="5"/>
    <n v="1"/>
    <n v="0"/>
  </r>
  <r>
    <n v="163"/>
    <x v="2"/>
    <n v="16.7"/>
    <x v="0"/>
    <x v="0"/>
    <x v="1"/>
    <x v="1"/>
    <s v="No"/>
    <n v="4"/>
    <s v="CSR015"/>
    <x v="2"/>
    <x v="1"/>
    <n v="0"/>
    <n v="1"/>
  </r>
  <r>
    <n v="164"/>
    <x v="3"/>
    <n v="3.8"/>
    <x v="0"/>
    <x v="1"/>
    <x v="3"/>
    <x v="0"/>
    <s v="No"/>
    <n v="3"/>
    <s v="CSR018"/>
    <x v="1"/>
    <x v="11"/>
    <n v="0"/>
    <n v="0"/>
  </r>
  <r>
    <n v="165"/>
    <x v="0"/>
    <n v="17.100000000000001"/>
    <x v="0"/>
    <x v="1"/>
    <x v="3"/>
    <x v="1"/>
    <s v="No"/>
    <n v="5"/>
    <s v="CSR006"/>
    <x v="2"/>
    <x v="10"/>
    <n v="0"/>
    <n v="0"/>
  </r>
  <r>
    <n v="166"/>
    <x v="1"/>
    <n v="11"/>
    <x v="0"/>
    <x v="0"/>
    <x v="3"/>
    <x v="1"/>
    <s v="No"/>
    <n v="4"/>
    <s v="CSR001"/>
    <x v="0"/>
    <x v="1"/>
    <n v="0"/>
    <n v="1"/>
  </r>
  <r>
    <n v="167"/>
    <x v="3"/>
    <n v="15.4"/>
    <x v="1"/>
    <x v="0"/>
    <x v="0"/>
    <x v="1"/>
    <s v="Yes"/>
    <n v="4"/>
    <s v="CSR012"/>
    <x v="2"/>
    <x v="9"/>
    <n v="1"/>
    <n v="1"/>
  </r>
  <r>
    <n v="168"/>
    <x v="1"/>
    <n v="5.4"/>
    <x v="0"/>
    <x v="0"/>
    <x v="1"/>
    <x v="0"/>
    <s v="No"/>
    <n v="4"/>
    <s v="CSR015"/>
    <x v="2"/>
    <x v="6"/>
    <n v="0"/>
    <n v="1"/>
  </r>
  <r>
    <n v="169"/>
    <x v="3"/>
    <n v="15.7"/>
    <x v="0"/>
    <x v="1"/>
    <x v="1"/>
    <x v="0"/>
    <s v="No"/>
    <n v="2"/>
    <s v="CSR016"/>
    <x v="0"/>
    <x v="5"/>
    <n v="0"/>
    <n v="0"/>
  </r>
  <r>
    <n v="170"/>
    <x v="3"/>
    <n v="19.5"/>
    <x v="1"/>
    <x v="0"/>
    <x v="1"/>
    <x v="1"/>
    <s v="Yes"/>
    <n v="3"/>
    <s v="CSR017"/>
    <x v="2"/>
    <x v="4"/>
    <n v="1"/>
    <n v="1"/>
  </r>
  <r>
    <n v="171"/>
    <x v="0"/>
    <n v="8.4"/>
    <x v="0"/>
    <x v="0"/>
    <x v="2"/>
    <x v="1"/>
    <s v="No"/>
    <n v="4"/>
    <s v="CSR008"/>
    <x v="0"/>
    <x v="2"/>
    <n v="0"/>
    <n v="1"/>
  </r>
  <r>
    <n v="172"/>
    <x v="0"/>
    <n v="16.100000000000001"/>
    <x v="0"/>
    <x v="0"/>
    <x v="0"/>
    <x v="0"/>
    <s v="Yes"/>
    <n v="4"/>
    <s v="CSR002"/>
    <x v="2"/>
    <x v="8"/>
    <n v="0"/>
    <n v="1"/>
  </r>
  <r>
    <n v="173"/>
    <x v="3"/>
    <n v="7.9"/>
    <x v="0"/>
    <x v="1"/>
    <x v="1"/>
    <x v="1"/>
    <s v="No"/>
    <n v="4"/>
    <s v="CSR003"/>
    <x v="2"/>
    <x v="6"/>
    <n v="0"/>
    <n v="0"/>
  </r>
  <r>
    <n v="174"/>
    <x v="0"/>
    <n v="12.3"/>
    <x v="0"/>
    <x v="0"/>
    <x v="2"/>
    <x v="0"/>
    <s v="No"/>
    <n v="5"/>
    <s v="CSR005"/>
    <x v="1"/>
    <x v="6"/>
    <n v="0"/>
    <n v="1"/>
  </r>
  <r>
    <n v="175"/>
    <x v="1"/>
    <n v="19.5"/>
    <x v="0"/>
    <x v="0"/>
    <x v="3"/>
    <x v="0"/>
    <s v="No"/>
    <n v="5"/>
    <s v="CSR017"/>
    <x v="0"/>
    <x v="5"/>
    <n v="0"/>
    <n v="1"/>
  </r>
  <r>
    <n v="176"/>
    <x v="1"/>
    <n v="16.5"/>
    <x v="0"/>
    <x v="0"/>
    <x v="3"/>
    <x v="1"/>
    <s v="No"/>
    <n v="5"/>
    <s v="CSR001"/>
    <x v="2"/>
    <x v="10"/>
    <n v="0"/>
    <n v="1"/>
  </r>
  <r>
    <n v="177"/>
    <x v="1"/>
    <n v="2.9"/>
    <x v="1"/>
    <x v="0"/>
    <x v="1"/>
    <x v="1"/>
    <s v="No"/>
    <n v="5"/>
    <s v="CSR014"/>
    <x v="2"/>
    <x v="11"/>
    <n v="1"/>
    <n v="1"/>
  </r>
  <r>
    <n v="178"/>
    <x v="2"/>
    <n v="17.600000000000001"/>
    <x v="0"/>
    <x v="1"/>
    <x v="3"/>
    <x v="1"/>
    <s v="No"/>
    <n v="4"/>
    <s v="CSR014"/>
    <x v="2"/>
    <x v="1"/>
    <n v="0"/>
    <n v="0"/>
  </r>
  <r>
    <n v="179"/>
    <x v="0"/>
    <n v="13.4"/>
    <x v="0"/>
    <x v="0"/>
    <x v="3"/>
    <x v="1"/>
    <s v="Yes"/>
    <n v="4"/>
    <s v="CSR018"/>
    <x v="2"/>
    <x v="1"/>
    <n v="0"/>
    <n v="1"/>
  </r>
  <r>
    <n v="180"/>
    <x v="1"/>
    <n v="8"/>
    <x v="0"/>
    <x v="0"/>
    <x v="1"/>
    <x v="0"/>
    <s v="No"/>
    <n v="4"/>
    <s v="CSR020"/>
    <x v="0"/>
    <x v="2"/>
    <n v="0"/>
    <n v="1"/>
  </r>
  <r>
    <n v="181"/>
    <x v="2"/>
    <n v="2"/>
    <x v="1"/>
    <x v="0"/>
    <x v="0"/>
    <x v="2"/>
    <s v="No"/>
    <n v="5"/>
    <s v="CSR012"/>
    <x v="2"/>
    <x v="2"/>
    <n v="1"/>
    <n v="1"/>
  </r>
  <r>
    <n v="182"/>
    <x v="2"/>
    <n v="3.9"/>
    <x v="1"/>
    <x v="1"/>
    <x v="0"/>
    <x v="0"/>
    <s v="No"/>
    <n v="3"/>
    <s v="CSR020"/>
    <x v="1"/>
    <x v="10"/>
    <n v="1"/>
    <n v="0"/>
  </r>
  <r>
    <n v="183"/>
    <x v="3"/>
    <n v="3.9"/>
    <x v="0"/>
    <x v="0"/>
    <x v="2"/>
    <x v="1"/>
    <s v="Yes"/>
    <n v="4"/>
    <s v="CSR005"/>
    <x v="0"/>
    <x v="7"/>
    <n v="0"/>
    <n v="1"/>
  </r>
  <r>
    <n v="184"/>
    <x v="0"/>
    <n v="3.6"/>
    <x v="0"/>
    <x v="0"/>
    <x v="1"/>
    <x v="1"/>
    <s v="No"/>
    <n v="3"/>
    <s v="CSR013"/>
    <x v="0"/>
    <x v="3"/>
    <n v="0"/>
    <n v="1"/>
  </r>
  <r>
    <n v="185"/>
    <x v="1"/>
    <n v="7.3"/>
    <x v="0"/>
    <x v="0"/>
    <x v="1"/>
    <x v="1"/>
    <s v="No"/>
    <n v="5"/>
    <s v="CSR003"/>
    <x v="0"/>
    <x v="1"/>
    <n v="0"/>
    <n v="1"/>
  </r>
  <r>
    <n v="186"/>
    <x v="2"/>
    <n v="11.5"/>
    <x v="0"/>
    <x v="0"/>
    <x v="1"/>
    <x v="0"/>
    <s v="No"/>
    <n v="4"/>
    <s v="CSR012"/>
    <x v="2"/>
    <x v="6"/>
    <n v="0"/>
    <n v="1"/>
  </r>
  <r>
    <n v="187"/>
    <x v="1"/>
    <n v="12.9"/>
    <x v="0"/>
    <x v="0"/>
    <x v="3"/>
    <x v="1"/>
    <s v="No"/>
    <n v="5"/>
    <s v="CSR015"/>
    <x v="2"/>
    <x v="1"/>
    <n v="0"/>
    <n v="1"/>
  </r>
  <r>
    <n v="188"/>
    <x v="3"/>
    <n v="4.7"/>
    <x v="0"/>
    <x v="0"/>
    <x v="2"/>
    <x v="1"/>
    <s v="Yes"/>
    <n v="4"/>
    <s v="CSR014"/>
    <x v="2"/>
    <x v="9"/>
    <n v="0"/>
    <n v="1"/>
  </r>
  <r>
    <n v="189"/>
    <x v="3"/>
    <n v="13.8"/>
    <x v="1"/>
    <x v="0"/>
    <x v="2"/>
    <x v="0"/>
    <s v="No"/>
    <n v="4"/>
    <s v="CSR002"/>
    <x v="2"/>
    <x v="8"/>
    <n v="1"/>
    <n v="1"/>
  </r>
  <r>
    <n v="190"/>
    <x v="0"/>
    <n v="6.4"/>
    <x v="0"/>
    <x v="0"/>
    <x v="1"/>
    <x v="0"/>
    <s v="Yes"/>
    <n v="4"/>
    <s v="CSR002"/>
    <x v="1"/>
    <x v="2"/>
    <n v="0"/>
    <n v="1"/>
  </r>
  <r>
    <n v="191"/>
    <x v="2"/>
    <n v="18.399999999999999"/>
    <x v="1"/>
    <x v="0"/>
    <x v="3"/>
    <x v="1"/>
    <s v="No"/>
    <n v="1"/>
    <s v="CSR015"/>
    <x v="1"/>
    <x v="2"/>
    <n v="1"/>
    <n v="1"/>
  </r>
  <r>
    <n v="192"/>
    <x v="1"/>
    <n v="19.3"/>
    <x v="1"/>
    <x v="0"/>
    <x v="0"/>
    <x v="0"/>
    <s v="Yes"/>
    <n v="1"/>
    <s v="CSR013"/>
    <x v="0"/>
    <x v="6"/>
    <n v="1"/>
    <n v="1"/>
  </r>
  <r>
    <n v="193"/>
    <x v="2"/>
    <n v="11.5"/>
    <x v="0"/>
    <x v="0"/>
    <x v="1"/>
    <x v="1"/>
    <s v="No"/>
    <n v="4"/>
    <s v="CSR010"/>
    <x v="1"/>
    <x v="3"/>
    <n v="0"/>
    <n v="1"/>
  </r>
  <r>
    <n v="194"/>
    <x v="2"/>
    <n v="8.6999999999999993"/>
    <x v="1"/>
    <x v="1"/>
    <x v="2"/>
    <x v="2"/>
    <s v="Yes"/>
    <n v="4"/>
    <s v="CSR006"/>
    <x v="0"/>
    <x v="1"/>
    <n v="1"/>
    <n v="0"/>
  </r>
  <r>
    <n v="195"/>
    <x v="1"/>
    <n v="19"/>
    <x v="0"/>
    <x v="0"/>
    <x v="1"/>
    <x v="1"/>
    <s v="No"/>
    <n v="5"/>
    <s v="CSR011"/>
    <x v="1"/>
    <x v="9"/>
    <n v="0"/>
    <n v="1"/>
  </r>
  <r>
    <n v="196"/>
    <x v="3"/>
    <n v="16.100000000000001"/>
    <x v="0"/>
    <x v="0"/>
    <x v="1"/>
    <x v="1"/>
    <s v="No"/>
    <n v="3"/>
    <s v="CSR005"/>
    <x v="0"/>
    <x v="6"/>
    <n v="0"/>
    <n v="1"/>
  </r>
  <r>
    <n v="197"/>
    <x v="3"/>
    <n v="5.2"/>
    <x v="1"/>
    <x v="0"/>
    <x v="1"/>
    <x v="1"/>
    <s v="No"/>
    <n v="5"/>
    <s v="CSR019"/>
    <x v="1"/>
    <x v="10"/>
    <n v="1"/>
    <n v="1"/>
  </r>
  <r>
    <n v="198"/>
    <x v="1"/>
    <n v="11.6"/>
    <x v="0"/>
    <x v="0"/>
    <x v="1"/>
    <x v="1"/>
    <s v="No"/>
    <n v="4"/>
    <s v="CSR019"/>
    <x v="2"/>
    <x v="10"/>
    <n v="0"/>
    <n v="1"/>
  </r>
  <r>
    <n v="199"/>
    <x v="1"/>
    <n v="17.8"/>
    <x v="0"/>
    <x v="0"/>
    <x v="1"/>
    <x v="0"/>
    <s v="No"/>
    <n v="3"/>
    <s v="CSR020"/>
    <x v="0"/>
    <x v="3"/>
    <n v="0"/>
    <n v="1"/>
  </r>
  <r>
    <n v="200"/>
    <x v="0"/>
    <n v="2.9"/>
    <x v="1"/>
    <x v="0"/>
    <x v="0"/>
    <x v="1"/>
    <s v="No"/>
    <n v="3"/>
    <s v="CSR008"/>
    <x v="2"/>
    <x v="4"/>
    <n v="1"/>
    <n v="1"/>
  </r>
  <r>
    <n v="201"/>
    <x v="2"/>
    <n v="10.3"/>
    <x v="1"/>
    <x v="0"/>
    <x v="1"/>
    <x v="1"/>
    <s v="Yes"/>
    <n v="3"/>
    <s v="CSR012"/>
    <x v="1"/>
    <x v="10"/>
    <n v="1"/>
    <n v="1"/>
  </r>
  <r>
    <n v="202"/>
    <x v="3"/>
    <n v="5.2"/>
    <x v="0"/>
    <x v="0"/>
    <x v="3"/>
    <x v="0"/>
    <s v="No"/>
    <n v="4"/>
    <s v="CSR011"/>
    <x v="1"/>
    <x v="7"/>
    <n v="0"/>
    <n v="1"/>
  </r>
  <r>
    <n v="203"/>
    <x v="2"/>
    <n v="19.399999999999999"/>
    <x v="1"/>
    <x v="0"/>
    <x v="1"/>
    <x v="1"/>
    <s v="Yes"/>
    <n v="5"/>
    <s v="CSR017"/>
    <x v="0"/>
    <x v="4"/>
    <n v="1"/>
    <n v="1"/>
  </r>
  <r>
    <n v="204"/>
    <x v="3"/>
    <n v="4.9000000000000004"/>
    <x v="0"/>
    <x v="0"/>
    <x v="0"/>
    <x v="0"/>
    <s v="Yes"/>
    <n v="2"/>
    <s v="CSR001"/>
    <x v="2"/>
    <x v="4"/>
    <n v="0"/>
    <n v="1"/>
  </r>
  <r>
    <n v="205"/>
    <x v="2"/>
    <n v="6.4"/>
    <x v="0"/>
    <x v="1"/>
    <x v="2"/>
    <x v="1"/>
    <s v="No"/>
    <n v="4"/>
    <s v="CSR006"/>
    <x v="2"/>
    <x v="4"/>
    <n v="0"/>
    <n v="0"/>
  </r>
  <r>
    <n v="206"/>
    <x v="1"/>
    <n v="5.6"/>
    <x v="0"/>
    <x v="0"/>
    <x v="2"/>
    <x v="1"/>
    <s v="No"/>
    <n v="3"/>
    <s v="CSR017"/>
    <x v="0"/>
    <x v="9"/>
    <n v="0"/>
    <n v="1"/>
  </r>
  <r>
    <n v="207"/>
    <x v="2"/>
    <n v="14.1"/>
    <x v="0"/>
    <x v="0"/>
    <x v="1"/>
    <x v="1"/>
    <s v="No"/>
    <n v="4"/>
    <s v="CSR017"/>
    <x v="1"/>
    <x v="11"/>
    <n v="0"/>
    <n v="1"/>
  </r>
  <r>
    <n v="208"/>
    <x v="0"/>
    <n v="15.9"/>
    <x v="1"/>
    <x v="0"/>
    <x v="2"/>
    <x v="1"/>
    <s v="No"/>
    <n v="5"/>
    <s v="CSR012"/>
    <x v="1"/>
    <x v="3"/>
    <n v="1"/>
    <n v="1"/>
  </r>
  <r>
    <n v="209"/>
    <x v="1"/>
    <n v="14.5"/>
    <x v="0"/>
    <x v="0"/>
    <x v="3"/>
    <x v="1"/>
    <s v="No"/>
    <n v="3"/>
    <s v="CSR020"/>
    <x v="1"/>
    <x v="2"/>
    <n v="0"/>
    <n v="1"/>
  </r>
  <r>
    <n v="210"/>
    <x v="1"/>
    <n v="18.100000000000001"/>
    <x v="0"/>
    <x v="0"/>
    <x v="1"/>
    <x v="0"/>
    <s v="No"/>
    <n v="5"/>
    <s v="CSR019"/>
    <x v="1"/>
    <x v="1"/>
    <n v="0"/>
    <n v="1"/>
  </r>
  <r>
    <n v="211"/>
    <x v="2"/>
    <n v="8"/>
    <x v="0"/>
    <x v="0"/>
    <x v="2"/>
    <x v="0"/>
    <s v="Yes"/>
    <n v="3"/>
    <s v="CSR007"/>
    <x v="1"/>
    <x v="5"/>
    <n v="0"/>
    <n v="1"/>
  </r>
  <r>
    <n v="212"/>
    <x v="2"/>
    <n v="16.600000000000001"/>
    <x v="0"/>
    <x v="0"/>
    <x v="1"/>
    <x v="0"/>
    <s v="No"/>
    <n v="5"/>
    <s v="CSR004"/>
    <x v="1"/>
    <x v="11"/>
    <n v="0"/>
    <n v="1"/>
  </r>
  <r>
    <n v="213"/>
    <x v="0"/>
    <n v="10.199999999999999"/>
    <x v="0"/>
    <x v="1"/>
    <x v="2"/>
    <x v="1"/>
    <s v="Yes"/>
    <n v="4"/>
    <s v="CSR002"/>
    <x v="2"/>
    <x v="7"/>
    <n v="0"/>
    <n v="0"/>
  </r>
  <r>
    <n v="214"/>
    <x v="0"/>
    <n v="8.8000000000000007"/>
    <x v="0"/>
    <x v="0"/>
    <x v="1"/>
    <x v="2"/>
    <s v="No"/>
    <n v="4"/>
    <s v="CSR015"/>
    <x v="0"/>
    <x v="3"/>
    <n v="0"/>
    <n v="1"/>
  </r>
  <r>
    <n v="215"/>
    <x v="3"/>
    <n v="7.2"/>
    <x v="0"/>
    <x v="0"/>
    <x v="0"/>
    <x v="1"/>
    <s v="Yes"/>
    <n v="5"/>
    <s v="CSR005"/>
    <x v="2"/>
    <x v="2"/>
    <n v="0"/>
    <n v="1"/>
  </r>
  <r>
    <n v="216"/>
    <x v="2"/>
    <n v="17.399999999999999"/>
    <x v="1"/>
    <x v="0"/>
    <x v="2"/>
    <x v="1"/>
    <s v="No"/>
    <n v="4"/>
    <s v="CSR008"/>
    <x v="1"/>
    <x v="6"/>
    <n v="1"/>
    <n v="1"/>
  </r>
  <r>
    <n v="217"/>
    <x v="2"/>
    <n v="9.1"/>
    <x v="0"/>
    <x v="0"/>
    <x v="0"/>
    <x v="0"/>
    <s v="Yes"/>
    <n v="5"/>
    <s v="CSR003"/>
    <x v="0"/>
    <x v="7"/>
    <n v="0"/>
    <n v="1"/>
  </r>
  <r>
    <n v="218"/>
    <x v="1"/>
    <n v="8"/>
    <x v="0"/>
    <x v="0"/>
    <x v="2"/>
    <x v="0"/>
    <s v="No"/>
    <n v="2"/>
    <s v="CSR004"/>
    <x v="1"/>
    <x v="3"/>
    <n v="0"/>
    <n v="1"/>
  </r>
  <r>
    <n v="219"/>
    <x v="2"/>
    <n v="11.3"/>
    <x v="0"/>
    <x v="0"/>
    <x v="2"/>
    <x v="1"/>
    <s v="No"/>
    <n v="5"/>
    <s v="CSR016"/>
    <x v="2"/>
    <x v="0"/>
    <n v="0"/>
    <n v="1"/>
  </r>
  <r>
    <n v="220"/>
    <x v="2"/>
    <n v="19.2"/>
    <x v="1"/>
    <x v="1"/>
    <x v="0"/>
    <x v="1"/>
    <s v="No"/>
    <n v="5"/>
    <s v="CSR007"/>
    <x v="2"/>
    <x v="7"/>
    <n v="1"/>
    <n v="0"/>
  </r>
  <r>
    <n v="221"/>
    <x v="1"/>
    <n v="5.7"/>
    <x v="0"/>
    <x v="0"/>
    <x v="3"/>
    <x v="1"/>
    <s v="No"/>
    <n v="1"/>
    <s v="CSR018"/>
    <x v="2"/>
    <x v="0"/>
    <n v="0"/>
    <n v="1"/>
  </r>
  <r>
    <n v="222"/>
    <x v="3"/>
    <n v="12.7"/>
    <x v="0"/>
    <x v="1"/>
    <x v="1"/>
    <x v="0"/>
    <s v="No"/>
    <n v="2"/>
    <s v="CSR007"/>
    <x v="1"/>
    <x v="0"/>
    <n v="0"/>
    <n v="0"/>
  </r>
  <r>
    <n v="223"/>
    <x v="0"/>
    <n v="19.5"/>
    <x v="0"/>
    <x v="0"/>
    <x v="2"/>
    <x v="1"/>
    <s v="No"/>
    <n v="4"/>
    <s v="CSR013"/>
    <x v="1"/>
    <x v="7"/>
    <n v="0"/>
    <n v="1"/>
  </r>
  <r>
    <n v="224"/>
    <x v="0"/>
    <n v="19.600000000000001"/>
    <x v="0"/>
    <x v="1"/>
    <x v="3"/>
    <x v="0"/>
    <s v="No"/>
    <n v="3"/>
    <s v="CSR011"/>
    <x v="0"/>
    <x v="0"/>
    <n v="0"/>
    <n v="0"/>
  </r>
  <r>
    <n v="225"/>
    <x v="1"/>
    <n v="19"/>
    <x v="0"/>
    <x v="1"/>
    <x v="0"/>
    <x v="1"/>
    <s v="No"/>
    <n v="2"/>
    <s v="CSR009"/>
    <x v="1"/>
    <x v="1"/>
    <n v="0"/>
    <n v="0"/>
  </r>
  <r>
    <n v="226"/>
    <x v="1"/>
    <n v="6.8"/>
    <x v="0"/>
    <x v="0"/>
    <x v="0"/>
    <x v="1"/>
    <s v="Yes"/>
    <n v="4"/>
    <s v="CSR012"/>
    <x v="0"/>
    <x v="1"/>
    <n v="0"/>
    <n v="1"/>
  </r>
  <r>
    <n v="227"/>
    <x v="3"/>
    <n v="9.1999999999999993"/>
    <x v="0"/>
    <x v="0"/>
    <x v="0"/>
    <x v="1"/>
    <s v="Yes"/>
    <n v="5"/>
    <s v="CSR019"/>
    <x v="1"/>
    <x v="4"/>
    <n v="0"/>
    <n v="1"/>
  </r>
  <r>
    <n v="228"/>
    <x v="1"/>
    <n v="6.6"/>
    <x v="0"/>
    <x v="0"/>
    <x v="3"/>
    <x v="1"/>
    <s v="No"/>
    <n v="1"/>
    <s v="CSR005"/>
    <x v="2"/>
    <x v="5"/>
    <n v="0"/>
    <n v="1"/>
  </r>
  <r>
    <n v="229"/>
    <x v="3"/>
    <n v="11.2"/>
    <x v="1"/>
    <x v="0"/>
    <x v="3"/>
    <x v="1"/>
    <s v="No"/>
    <n v="2"/>
    <s v="CSR001"/>
    <x v="1"/>
    <x v="7"/>
    <n v="1"/>
    <n v="1"/>
  </r>
  <r>
    <n v="230"/>
    <x v="2"/>
    <n v="8.6"/>
    <x v="1"/>
    <x v="0"/>
    <x v="0"/>
    <x v="0"/>
    <s v="No"/>
    <n v="4"/>
    <s v="CSR007"/>
    <x v="2"/>
    <x v="3"/>
    <n v="1"/>
    <n v="1"/>
  </r>
  <r>
    <n v="231"/>
    <x v="2"/>
    <n v="18.8"/>
    <x v="0"/>
    <x v="0"/>
    <x v="0"/>
    <x v="0"/>
    <s v="Yes"/>
    <n v="5"/>
    <s v="CSR011"/>
    <x v="1"/>
    <x v="7"/>
    <n v="0"/>
    <n v="1"/>
  </r>
  <r>
    <n v="232"/>
    <x v="1"/>
    <n v="14.1"/>
    <x v="1"/>
    <x v="0"/>
    <x v="0"/>
    <x v="0"/>
    <s v="No"/>
    <n v="4"/>
    <s v="CSR019"/>
    <x v="0"/>
    <x v="7"/>
    <n v="1"/>
    <n v="1"/>
  </r>
  <r>
    <n v="233"/>
    <x v="2"/>
    <n v="14.4"/>
    <x v="1"/>
    <x v="0"/>
    <x v="1"/>
    <x v="1"/>
    <s v="Yes"/>
    <n v="4"/>
    <s v="CSR014"/>
    <x v="0"/>
    <x v="8"/>
    <n v="1"/>
    <n v="1"/>
  </r>
  <r>
    <n v="234"/>
    <x v="0"/>
    <n v="3"/>
    <x v="0"/>
    <x v="1"/>
    <x v="1"/>
    <x v="1"/>
    <s v="Yes"/>
    <n v="3"/>
    <s v="CSR016"/>
    <x v="1"/>
    <x v="8"/>
    <n v="0"/>
    <n v="0"/>
  </r>
  <r>
    <n v="235"/>
    <x v="3"/>
    <n v="14.6"/>
    <x v="0"/>
    <x v="1"/>
    <x v="1"/>
    <x v="0"/>
    <s v="No"/>
    <n v="3"/>
    <s v="CSR012"/>
    <x v="1"/>
    <x v="6"/>
    <n v="0"/>
    <n v="0"/>
  </r>
  <r>
    <n v="236"/>
    <x v="1"/>
    <n v="9.9"/>
    <x v="0"/>
    <x v="0"/>
    <x v="0"/>
    <x v="1"/>
    <s v="Yes"/>
    <n v="4"/>
    <s v="CSR009"/>
    <x v="0"/>
    <x v="4"/>
    <n v="0"/>
    <n v="1"/>
  </r>
  <r>
    <n v="237"/>
    <x v="0"/>
    <n v="19.3"/>
    <x v="0"/>
    <x v="0"/>
    <x v="0"/>
    <x v="1"/>
    <s v="No"/>
    <n v="1"/>
    <s v="CSR010"/>
    <x v="2"/>
    <x v="3"/>
    <n v="0"/>
    <n v="1"/>
  </r>
  <r>
    <n v="238"/>
    <x v="2"/>
    <n v="7.4"/>
    <x v="0"/>
    <x v="0"/>
    <x v="2"/>
    <x v="2"/>
    <s v="No"/>
    <n v="3"/>
    <s v="CSR010"/>
    <x v="2"/>
    <x v="9"/>
    <n v="0"/>
    <n v="1"/>
  </r>
  <r>
    <n v="239"/>
    <x v="3"/>
    <n v="7.9"/>
    <x v="0"/>
    <x v="0"/>
    <x v="1"/>
    <x v="1"/>
    <s v="No"/>
    <n v="3"/>
    <s v="CSR017"/>
    <x v="0"/>
    <x v="11"/>
    <n v="0"/>
    <n v="1"/>
  </r>
  <r>
    <n v="240"/>
    <x v="3"/>
    <n v="12.1"/>
    <x v="0"/>
    <x v="0"/>
    <x v="1"/>
    <x v="1"/>
    <s v="No"/>
    <n v="2"/>
    <s v="CSR011"/>
    <x v="2"/>
    <x v="3"/>
    <n v="0"/>
    <n v="1"/>
  </r>
  <r>
    <n v="241"/>
    <x v="2"/>
    <n v="13.3"/>
    <x v="0"/>
    <x v="0"/>
    <x v="0"/>
    <x v="1"/>
    <s v="No"/>
    <n v="5"/>
    <s v="CSR011"/>
    <x v="1"/>
    <x v="5"/>
    <n v="0"/>
    <n v="1"/>
  </r>
  <r>
    <n v="242"/>
    <x v="0"/>
    <n v="7.4"/>
    <x v="0"/>
    <x v="0"/>
    <x v="0"/>
    <x v="1"/>
    <s v="Yes"/>
    <n v="5"/>
    <s v="CSR018"/>
    <x v="1"/>
    <x v="3"/>
    <n v="0"/>
    <n v="1"/>
  </r>
  <r>
    <n v="243"/>
    <x v="3"/>
    <n v="8.1"/>
    <x v="0"/>
    <x v="0"/>
    <x v="1"/>
    <x v="0"/>
    <s v="Yes"/>
    <n v="5"/>
    <s v="CSR012"/>
    <x v="0"/>
    <x v="3"/>
    <n v="0"/>
    <n v="1"/>
  </r>
  <r>
    <n v="244"/>
    <x v="1"/>
    <n v="16.399999999999999"/>
    <x v="0"/>
    <x v="1"/>
    <x v="2"/>
    <x v="0"/>
    <s v="No"/>
    <n v="2"/>
    <s v="CSR017"/>
    <x v="2"/>
    <x v="0"/>
    <n v="0"/>
    <n v="0"/>
  </r>
  <r>
    <n v="245"/>
    <x v="1"/>
    <n v="15.7"/>
    <x v="0"/>
    <x v="0"/>
    <x v="2"/>
    <x v="1"/>
    <s v="Yes"/>
    <n v="4"/>
    <s v="CSR004"/>
    <x v="2"/>
    <x v="4"/>
    <n v="0"/>
    <n v="1"/>
  </r>
  <r>
    <n v="246"/>
    <x v="1"/>
    <n v="13.1"/>
    <x v="0"/>
    <x v="1"/>
    <x v="2"/>
    <x v="0"/>
    <s v="Yes"/>
    <n v="4"/>
    <s v="CSR007"/>
    <x v="0"/>
    <x v="11"/>
    <n v="0"/>
    <n v="0"/>
  </r>
  <r>
    <n v="247"/>
    <x v="0"/>
    <n v="18.399999999999999"/>
    <x v="0"/>
    <x v="0"/>
    <x v="1"/>
    <x v="0"/>
    <s v="No"/>
    <n v="4"/>
    <s v="CSR019"/>
    <x v="2"/>
    <x v="10"/>
    <n v="0"/>
    <n v="1"/>
  </r>
  <r>
    <n v="248"/>
    <x v="2"/>
    <n v="3.3"/>
    <x v="0"/>
    <x v="0"/>
    <x v="1"/>
    <x v="0"/>
    <s v="No"/>
    <n v="3"/>
    <s v="CSR007"/>
    <x v="1"/>
    <x v="5"/>
    <n v="0"/>
    <n v="1"/>
  </r>
  <r>
    <n v="249"/>
    <x v="2"/>
    <n v="11.8"/>
    <x v="1"/>
    <x v="0"/>
    <x v="0"/>
    <x v="1"/>
    <s v="No"/>
    <n v="2"/>
    <s v="CSR020"/>
    <x v="1"/>
    <x v="2"/>
    <n v="1"/>
    <n v="1"/>
  </r>
  <r>
    <n v="250"/>
    <x v="0"/>
    <n v="11"/>
    <x v="0"/>
    <x v="1"/>
    <x v="3"/>
    <x v="2"/>
    <s v="No"/>
    <n v="5"/>
    <s v="CSR018"/>
    <x v="2"/>
    <x v="7"/>
    <n v="0"/>
    <n v="0"/>
  </r>
  <r>
    <n v="251"/>
    <x v="2"/>
    <n v="15"/>
    <x v="0"/>
    <x v="0"/>
    <x v="3"/>
    <x v="1"/>
    <s v="No"/>
    <n v="5"/>
    <s v="CSR001"/>
    <x v="0"/>
    <x v="11"/>
    <n v="0"/>
    <n v="1"/>
  </r>
  <r>
    <n v="252"/>
    <x v="0"/>
    <n v="17.899999999999999"/>
    <x v="0"/>
    <x v="0"/>
    <x v="0"/>
    <x v="0"/>
    <s v="No"/>
    <n v="3"/>
    <s v="CSR018"/>
    <x v="1"/>
    <x v="0"/>
    <n v="0"/>
    <n v="1"/>
  </r>
  <r>
    <n v="253"/>
    <x v="3"/>
    <n v="16"/>
    <x v="0"/>
    <x v="0"/>
    <x v="1"/>
    <x v="1"/>
    <s v="Yes"/>
    <n v="4"/>
    <s v="CSR004"/>
    <x v="1"/>
    <x v="2"/>
    <n v="0"/>
    <n v="1"/>
  </r>
  <r>
    <n v="254"/>
    <x v="3"/>
    <n v="16.399999999999999"/>
    <x v="0"/>
    <x v="0"/>
    <x v="1"/>
    <x v="0"/>
    <s v="No"/>
    <n v="1"/>
    <s v="CSR011"/>
    <x v="1"/>
    <x v="7"/>
    <n v="0"/>
    <n v="1"/>
  </r>
  <r>
    <n v="255"/>
    <x v="0"/>
    <n v="12.7"/>
    <x v="0"/>
    <x v="1"/>
    <x v="3"/>
    <x v="2"/>
    <s v="No"/>
    <n v="4"/>
    <s v="CSR018"/>
    <x v="0"/>
    <x v="3"/>
    <n v="0"/>
    <n v="0"/>
  </r>
  <r>
    <n v="256"/>
    <x v="2"/>
    <n v="15"/>
    <x v="0"/>
    <x v="0"/>
    <x v="2"/>
    <x v="1"/>
    <s v="No"/>
    <n v="5"/>
    <s v="CSR007"/>
    <x v="2"/>
    <x v="10"/>
    <n v="0"/>
    <n v="1"/>
  </r>
  <r>
    <n v="257"/>
    <x v="3"/>
    <n v="9.1"/>
    <x v="0"/>
    <x v="1"/>
    <x v="3"/>
    <x v="1"/>
    <s v="No"/>
    <n v="2"/>
    <s v="CSR013"/>
    <x v="1"/>
    <x v="4"/>
    <n v="0"/>
    <n v="0"/>
  </r>
  <r>
    <n v="258"/>
    <x v="0"/>
    <n v="16"/>
    <x v="0"/>
    <x v="0"/>
    <x v="2"/>
    <x v="1"/>
    <s v="No"/>
    <n v="3"/>
    <s v="CSR013"/>
    <x v="1"/>
    <x v="8"/>
    <n v="0"/>
    <n v="1"/>
  </r>
  <r>
    <n v="259"/>
    <x v="1"/>
    <n v="9.3000000000000007"/>
    <x v="0"/>
    <x v="0"/>
    <x v="0"/>
    <x v="1"/>
    <s v="Yes"/>
    <n v="4"/>
    <s v="CSR006"/>
    <x v="0"/>
    <x v="6"/>
    <n v="0"/>
    <n v="1"/>
  </r>
  <r>
    <n v="260"/>
    <x v="2"/>
    <n v="5.6"/>
    <x v="0"/>
    <x v="0"/>
    <x v="0"/>
    <x v="1"/>
    <s v="No"/>
    <n v="4"/>
    <s v="CSR020"/>
    <x v="2"/>
    <x v="5"/>
    <n v="0"/>
    <n v="1"/>
  </r>
  <r>
    <n v="261"/>
    <x v="2"/>
    <n v="9.3000000000000007"/>
    <x v="1"/>
    <x v="0"/>
    <x v="0"/>
    <x v="1"/>
    <s v="No"/>
    <n v="2"/>
    <s v="CSR017"/>
    <x v="2"/>
    <x v="9"/>
    <n v="1"/>
    <n v="1"/>
  </r>
  <r>
    <n v="262"/>
    <x v="1"/>
    <n v="3.1"/>
    <x v="1"/>
    <x v="0"/>
    <x v="0"/>
    <x v="1"/>
    <s v="No"/>
    <n v="4"/>
    <s v="CSR014"/>
    <x v="0"/>
    <x v="0"/>
    <n v="1"/>
    <n v="1"/>
  </r>
  <r>
    <n v="263"/>
    <x v="0"/>
    <n v="14.2"/>
    <x v="0"/>
    <x v="0"/>
    <x v="1"/>
    <x v="1"/>
    <s v="No"/>
    <n v="3"/>
    <s v="CSR011"/>
    <x v="2"/>
    <x v="0"/>
    <n v="0"/>
    <n v="1"/>
  </r>
  <r>
    <n v="264"/>
    <x v="2"/>
    <n v="19.2"/>
    <x v="0"/>
    <x v="1"/>
    <x v="0"/>
    <x v="0"/>
    <s v="No"/>
    <n v="5"/>
    <s v="CSR007"/>
    <x v="0"/>
    <x v="11"/>
    <n v="0"/>
    <n v="0"/>
  </r>
  <r>
    <n v="265"/>
    <x v="1"/>
    <n v="8.6"/>
    <x v="0"/>
    <x v="1"/>
    <x v="0"/>
    <x v="2"/>
    <s v="No"/>
    <n v="4"/>
    <s v="CSR007"/>
    <x v="1"/>
    <x v="5"/>
    <n v="0"/>
    <n v="0"/>
  </r>
  <r>
    <n v="266"/>
    <x v="0"/>
    <n v="17.5"/>
    <x v="0"/>
    <x v="0"/>
    <x v="0"/>
    <x v="1"/>
    <s v="No"/>
    <n v="3"/>
    <s v="CSR001"/>
    <x v="1"/>
    <x v="1"/>
    <n v="0"/>
    <n v="1"/>
  </r>
  <r>
    <n v="267"/>
    <x v="0"/>
    <n v="11.3"/>
    <x v="1"/>
    <x v="1"/>
    <x v="2"/>
    <x v="1"/>
    <s v="No"/>
    <n v="3"/>
    <s v="CSR013"/>
    <x v="1"/>
    <x v="11"/>
    <n v="1"/>
    <n v="0"/>
  </r>
  <r>
    <n v="268"/>
    <x v="0"/>
    <n v="13.4"/>
    <x v="0"/>
    <x v="0"/>
    <x v="3"/>
    <x v="1"/>
    <s v="No"/>
    <n v="4"/>
    <s v="CSR017"/>
    <x v="2"/>
    <x v="3"/>
    <n v="0"/>
    <n v="1"/>
  </r>
  <r>
    <n v="269"/>
    <x v="3"/>
    <n v="7.6"/>
    <x v="0"/>
    <x v="1"/>
    <x v="0"/>
    <x v="0"/>
    <s v="No"/>
    <n v="4"/>
    <s v="CSR011"/>
    <x v="0"/>
    <x v="9"/>
    <n v="0"/>
    <n v="0"/>
  </r>
  <r>
    <n v="270"/>
    <x v="3"/>
    <n v="5.6"/>
    <x v="0"/>
    <x v="0"/>
    <x v="1"/>
    <x v="1"/>
    <s v="No"/>
    <n v="4"/>
    <s v="CSR017"/>
    <x v="1"/>
    <x v="2"/>
    <n v="0"/>
    <n v="1"/>
  </r>
  <r>
    <n v="271"/>
    <x v="3"/>
    <n v="17.5"/>
    <x v="0"/>
    <x v="0"/>
    <x v="0"/>
    <x v="1"/>
    <s v="No"/>
    <n v="4"/>
    <s v="CSR013"/>
    <x v="2"/>
    <x v="9"/>
    <n v="0"/>
    <n v="1"/>
  </r>
  <r>
    <n v="272"/>
    <x v="3"/>
    <n v="11.5"/>
    <x v="0"/>
    <x v="1"/>
    <x v="3"/>
    <x v="0"/>
    <s v="Yes"/>
    <n v="4"/>
    <s v="CSR002"/>
    <x v="2"/>
    <x v="2"/>
    <n v="0"/>
    <n v="0"/>
  </r>
  <r>
    <n v="273"/>
    <x v="3"/>
    <n v="2.4"/>
    <x v="1"/>
    <x v="0"/>
    <x v="1"/>
    <x v="1"/>
    <s v="No"/>
    <n v="4"/>
    <s v="CSR012"/>
    <x v="1"/>
    <x v="3"/>
    <n v="1"/>
    <n v="1"/>
  </r>
  <r>
    <n v="274"/>
    <x v="0"/>
    <n v="15.3"/>
    <x v="0"/>
    <x v="0"/>
    <x v="2"/>
    <x v="0"/>
    <s v="No"/>
    <n v="1"/>
    <s v="CSR002"/>
    <x v="0"/>
    <x v="3"/>
    <n v="0"/>
    <n v="1"/>
  </r>
  <r>
    <n v="275"/>
    <x v="1"/>
    <n v="18.5"/>
    <x v="1"/>
    <x v="0"/>
    <x v="1"/>
    <x v="1"/>
    <s v="No"/>
    <n v="5"/>
    <s v="CSR002"/>
    <x v="1"/>
    <x v="4"/>
    <n v="1"/>
    <n v="1"/>
  </r>
  <r>
    <n v="276"/>
    <x v="1"/>
    <n v="18.3"/>
    <x v="1"/>
    <x v="0"/>
    <x v="3"/>
    <x v="1"/>
    <s v="Yes"/>
    <n v="3"/>
    <s v="CSR014"/>
    <x v="0"/>
    <x v="1"/>
    <n v="1"/>
    <n v="1"/>
  </r>
  <r>
    <n v="277"/>
    <x v="3"/>
    <n v="6.7"/>
    <x v="1"/>
    <x v="1"/>
    <x v="1"/>
    <x v="0"/>
    <s v="No"/>
    <n v="4"/>
    <s v="CSR009"/>
    <x v="0"/>
    <x v="11"/>
    <n v="1"/>
    <n v="0"/>
  </r>
  <r>
    <n v="278"/>
    <x v="1"/>
    <n v="17.100000000000001"/>
    <x v="0"/>
    <x v="0"/>
    <x v="1"/>
    <x v="1"/>
    <s v="No"/>
    <n v="4"/>
    <s v="CSR008"/>
    <x v="2"/>
    <x v="7"/>
    <n v="0"/>
    <n v="1"/>
  </r>
  <r>
    <n v="279"/>
    <x v="2"/>
    <n v="8.1999999999999993"/>
    <x v="0"/>
    <x v="0"/>
    <x v="0"/>
    <x v="2"/>
    <s v="No"/>
    <n v="4"/>
    <s v="CSR012"/>
    <x v="2"/>
    <x v="9"/>
    <n v="0"/>
    <n v="1"/>
  </r>
  <r>
    <n v="280"/>
    <x v="3"/>
    <n v="4.3"/>
    <x v="0"/>
    <x v="0"/>
    <x v="0"/>
    <x v="1"/>
    <s v="No"/>
    <n v="3"/>
    <s v="CSR007"/>
    <x v="1"/>
    <x v="4"/>
    <n v="0"/>
    <n v="1"/>
  </r>
  <r>
    <n v="281"/>
    <x v="0"/>
    <n v="8.4"/>
    <x v="0"/>
    <x v="0"/>
    <x v="3"/>
    <x v="1"/>
    <s v="No"/>
    <n v="2"/>
    <s v="CSR009"/>
    <x v="2"/>
    <x v="11"/>
    <n v="0"/>
    <n v="1"/>
  </r>
  <r>
    <n v="282"/>
    <x v="2"/>
    <n v="6.9"/>
    <x v="0"/>
    <x v="0"/>
    <x v="1"/>
    <x v="1"/>
    <s v="No"/>
    <n v="5"/>
    <s v="CSR002"/>
    <x v="2"/>
    <x v="7"/>
    <n v="0"/>
    <n v="1"/>
  </r>
  <r>
    <n v="283"/>
    <x v="1"/>
    <n v="17"/>
    <x v="0"/>
    <x v="0"/>
    <x v="3"/>
    <x v="1"/>
    <s v="No"/>
    <n v="4"/>
    <s v="CSR016"/>
    <x v="0"/>
    <x v="11"/>
    <n v="0"/>
    <n v="1"/>
  </r>
  <r>
    <n v="284"/>
    <x v="1"/>
    <n v="13.6"/>
    <x v="0"/>
    <x v="0"/>
    <x v="0"/>
    <x v="0"/>
    <s v="No"/>
    <n v="5"/>
    <s v="CSR012"/>
    <x v="2"/>
    <x v="3"/>
    <n v="0"/>
    <n v="1"/>
  </r>
  <r>
    <n v="285"/>
    <x v="3"/>
    <n v="2"/>
    <x v="0"/>
    <x v="0"/>
    <x v="1"/>
    <x v="1"/>
    <s v="No"/>
    <n v="3"/>
    <s v="CSR001"/>
    <x v="2"/>
    <x v="6"/>
    <n v="0"/>
    <n v="1"/>
  </r>
  <r>
    <n v="286"/>
    <x v="3"/>
    <n v="2.2999999999999998"/>
    <x v="0"/>
    <x v="0"/>
    <x v="3"/>
    <x v="1"/>
    <s v="No"/>
    <n v="5"/>
    <s v="CSR016"/>
    <x v="2"/>
    <x v="10"/>
    <n v="0"/>
    <n v="1"/>
  </r>
  <r>
    <n v="287"/>
    <x v="1"/>
    <n v="17"/>
    <x v="0"/>
    <x v="0"/>
    <x v="0"/>
    <x v="1"/>
    <s v="Yes"/>
    <n v="2"/>
    <s v="CSR001"/>
    <x v="0"/>
    <x v="10"/>
    <n v="0"/>
    <n v="1"/>
  </r>
  <r>
    <n v="288"/>
    <x v="1"/>
    <n v="10.8"/>
    <x v="0"/>
    <x v="0"/>
    <x v="2"/>
    <x v="1"/>
    <s v="No"/>
    <n v="4"/>
    <s v="CSR002"/>
    <x v="0"/>
    <x v="2"/>
    <n v="0"/>
    <n v="1"/>
  </r>
  <r>
    <n v="289"/>
    <x v="3"/>
    <n v="3.5"/>
    <x v="0"/>
    <x v="0"/>
    <x v="3"/>
    <x v="1"/>
    <s v="No"/>
    <n v="4"/>
    <s v="CSR004"/>
    <x v="1"/>
    <x v="11"/>
    <n v="0"/>
    <n v="1"/>
  </r>
  <r>
    <n v="290"/>
    <x v="2"/>
    <n v="4"/>
    <x v="0"/>
    <x v="0"/>
    <x v="2"/>
    <x v="1"/>
    <s v="No"/>
    <n v="4"/>
    <s v="CSR010"/>
    <x v="2"/>
    <x v="4"/>
    <n v="0"/>
    <n v="1"/>
  </r>
  <r>
    <n v="291"/>
    <x v="0"/>
    <n v="4.5999999999999996"/>
    <x v="1"/>
    <x v="0"/>
    <x v="1"/>
    <x v="1"/>
    <s v="No"/>
    <n v="5"/>
    <s v="CSR001"/>
    <x v="0"/>
    <x v="7"/>
    <n v="1"/>
    <n v="1"/>
  </r>
  <r>
    <n v="292"/>
    <x v="2"/>
    <n v="15"/>
    <x v="1"/>
    <x v="0"/>
    <x v="0"/>
    <x v="1"/>
    <s v="No"/>
    <n v="5"/>
    <s v="CSR020"/>
    <x v="2"/>
    <x v="10"/>
    <n v="1"/>
    <n v="1"/>
  </r>
  <r>
    <n v="293"/>
    <x v="0"/>
    <n v="16.5"/>
    <x v="0"/>
    <x v="1"/>
    <x v="3"/>
    <x v="1"/>
    <s v="No"/>
    <n v="4"/>
    <s v="CSR012"/>
    <x v="0"/>
    <x v="6"/>
    <n v="0"/>
    <n v="0"/>
  </r>
  <r>
    <n v="294"/>
    <x v="0"/>
    <n v="17.8"/>
    <x v="0"/>
    <x v="1"/>
    <x v="1"/>
    <x v="1"/>
    <s v="Yes"/>
    <n v="3"/>
    <s v="CSR019"/>
    <x v="2"/>
    <x v="0"/>
    <n v="0"/>
    <n v="0"/>
  </r>
  <r>
    <n v="295"/>
    <x v="1"/>
    <n v="2"/>
    <x v="0"/>
    <x v="0"/>
    <x v="0"/>
    <x v="0"/>
    <s v="No"/>
    <n v="3"/>
    <s v="CSR013"/>
    <x v="1"/>
    <x v="8"/>
    <n v="0"/>
    <n v="1"/>
  </r>
  <r>
    <n v="296"/>
    <x v="1"/>
    <n v="3.2"/>
    <x v="0"/>
    <x v="0"/>
    <x v="2"/>
    <x v="1"/>
    <s v="No"/>
    <n v="3"/>
    <s v="CSR002"/>
    <x v="2"/>
    <x v="8"/>
    <n v="0"/>
    <n v="1"/>
  </r>
  <r>
    <n v="297"/>
    <x v="0"/>
    <n v="14.8"/>
    <x v="1"/>
    <x v="0"/>
    <x v="3"/>
    <x v="1"/>
    <s v="No"/>
    <n v="3"/>
    <s v="CSR009"/>
    <x v="2"/>
    <x v="10"/>
    <n v="1"/>
    <n v="1"/>
  </r>
  <r>
    <n v="298"/>
    <x v="0"/>
    <n v="2.7"/>
    <x v="0"/>
    <x v="1"/>
    <x v="2"/>
    <x v="2"/>
    <s v="No"/>
    <n v="4"/>
    <s v="CSR001"/>
    <x v="2"/>
    <x v="9"/>
    <n v="0"/>
    <n v="0"/>
  </r>
  <r>
    <n v="299"/>
    <x v="1"/>
    <n v="3.5"/>
    <x v="1"/>
    <x v="0"/>
    <x v="3"/>
    <x v="1"/>
    <s v="No"/>
    <n v="5"/>
    <s v="CSR009"/>
    <x v="0"/>
    <x v="11"/>
    <n v="1"/>
    <n v="1"/>
  </r>
  <r>
    <n v="300"/>
    <x v="2"/>
    <n v="11.1"/>
    <x v="0"/>
    <x v="0"/>
    <x v="2"/>
    <x v="0"/>
    <s v="No"/>
    <n v="5"/>
    <s v="CSR001"/>
    <x v="0"/>
    <x v="0"/>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D636D-16D0-D348-A99D-075D55F9B84E}" name="Call Distribution Pivot" cacheId="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rowHeaderCaption="Customer Segment">
  <location ref="A11:D15" firstHeaderRow="0" firstDataRow="1" firstDataCol="1"/>
  <pivotFields count="14">
    <pivotField dataField="1" showAll="0"/>
    <pivotField showAll="0">
      <items count="5">
        <item x="1"/>
        <item x="0"/>
        <item x="2"/>
        <item x="3"/>
        <item t="default"/>
      </items>
    </pivotField>
    <pivotField showAll="0"/>
    <pivotField showAll="0">
      <items count="3">
        <item x="0"/>
        <item x="1"/>
        <item t="default"/>
      </items>
    </pivotField>
    <pivotField showAll="0">
      <items count="3">
        <item x="1"/>
        <item x="0"/>
        <item t="default"/>
      </items>
    </pivotField>
    <pivotField showAll="0">
      <items count="5">
        <item x="1"/>
        <item x="2"/>
        <item x="0"/>
        <item x="3"/>
        <item t="default"/>
      </items>
    </pivotField>
    <pivotField axis="axisRow" showAll="0">
      <items count="4">
        <item x="0"/>
        <item x="1"/>
        <item x="2"/>
        <item t="default"/>
      </items>
    </pivotField>
    <pivotField showAll="0"/>
    <pivotField showAll="0"/>
    <pivotField showAll="0"/>
    <pivotField showAll="0">
      <items count="4">
        <item x="2"/>
        <item x="0"/>
        <item x="1"/>
        <item t="default"/>
      </items>
    </pivotField>
    <pivotField showAll="0"/>
    <pivotField dataField="1" showAll="0"/>
    <pivotField dataField="1" showAll="0"/>
  </pivotFields>
  <rowFields count="1">
    <field x="6"/>
  </rowFields>
  <rowItems count="4">
    <i>
      <x/>
    </i>
    <i>
      <x v="1"/>
    </i>
    <i>
      <x v="2"/>
    </i>
    <i t="grand">
      <x/>
    </i>
  </rowItems>
  <colFields count="1">
    <field x="-2"/>
  </colFields>
  <colItems count="3">
    <i>
      <x/>
    </i>
    <i i="1">
      <x v="1"/>
    </i>
    <i i="2">
      <x v="2"/>
    </i>
  </colItems>
  <dataFields count="3">
    <dataField name="Escalated Calls" fld="12" baseField="0" baseItem="0"/>
    <dataField name="Resolved Calls" fld="13" baseField="0" baseItem="0"/>
    <dataField name="Total Calls" fld="0" subtotal="count" baseField="0" baseItem="0"/>
  </dataFields>
  <formats count="31">
    <format dxfId="124">
      <pivotArea field="6" type="button" dataOnly="0" labelOnly="1" outline="0" axis="axisRow" fieldPosition="0"/>
    </format>
    <format dxfId="123">
      <pivotArea dataOnly="0" labelOnly="1" fieldPosition="0">
        <references count="1">
          <reference field="6" count="0"/>
        </references>
      </pivotArea>
    </format>
    <format dxfId="122">
      <pivotArea dataOnly="0" labelOnly="1" grandRow="1" outline="0" fieldPosition="0"/>
    </format>
    <format dxfId="121">
      <pivotArea outline="0" collapsedLevelsAreSubtotals="1" fieldPosition="0">
        <references count="1">
          <reference field="4294967294" count="1" selected="0">
            <x v="0"/>
          </reference>
        </references>
      </pivotArea>
    </format>
    <format dxfId="120">
      <pivotArea dataOnly="0" labelOnly="1" outline="0" fieldPosition="0">
        <references count="1">
          <reference field="4294967294" count="1">
            <x v="0"/>
          </reference>
        </references>
      </pivotArea>
    </format>
    <format dxfId="119">
      <pivotArea outline="0" collapsedLevelsAreSubtotals="1" fieldPosition="0">
        <references count="1">
          <reference field="4294967294" count="1" selected="0">
            <x v="1"/>
          </reference>
        </references>
      </pivotArea>
    </format>
    <format dxfId="118">
      <pivotArea dataOnly="0" labelOnly="1" outline="0" fieldPosition="0">
        <references count="1">
          <reference field="4294967294" count="1">
            <x v="1"/>
          </reference>
        </references>
      </pivotArea>
    </format>
    <format dxfId="117">
      <pivotArea type="all" dataOnly="0" outline="0" fieldPosition="0"/>
    </format>
    <format dxfId="116">
      <pivotArea outline="0" collapsedLevelsAreSubtotals="1" fieldPosition="0"/>
    </format>
    <format dxfId="115">
      <pivotArea field="6" type="button" dataOnly="0" labelOnly="1" outline="0" axis="axisRow" fieldPosition="0"/>
    </format>
    <format dxfId="114">
      <pivotArea dataOnly="0" labelOnly="1" fieldPosition="0">
        <references count="1">
          <reference field="6" count="0"/>
        </references>
      </pivotArea>
    </format>
    <format dxfId="113">
      <pivotArea dataOnly="0" labelOnly="1" grandRow="1" outline="0" fieldPosition="0"/>
    </format>
    <format dxfId="112">
      <pivotArea dataOnly="0" labelOnly="1" outline="0" fieldPosition="0">
        <references count="1">
          <reference field="4294967294" count="3">
            <x v="0"/>
            <x v="1"/>
            <x v="2"/>
          </reference>
        </references>
      </pivotArea>
    </format>
    <format dxfId="111">
      <pivotArea outline="0" collapsedLevelsAreSubtotals="1" fieldPosition="0">
        <references count="1">
          <reference field="4294967294" count="1" selected="0">
            <x v="0"/>
          </reference>
        </references>
      </pivotArea>
    </format>
    <format dxfId="110">
      <pivotArea dataOnly="0" labelOnly="1" outline="0" fieldPosition="0">
        <references count="1">
          <reference field="4294967294" count="1">
            <x v="0"/>
          </reference>
        </references>
      </pivotArea>
    </format>
    <format dxfId="109">
      <pivotArea outline="0" collapsedLevelsAreSubtotals="1" fieldPosition="0">
        <references count="1">
          <reference field="4294967294" count="1" selected="0">
            <x v="1"/>
          </reference>
        </references>
      </pivotArea>
    </format>
    <format dxfId="108">
      <pivotArea dataOnly="0" labelOnly="1" outline="0" fieldPosition="0">
        <references count="1">
          <reference field="4294967294" count="1">
            <x v="1"/>
          </reference>
        </references>
      </pivotArea>
    </format>
    <format dxfId="107">
      <pivotArea outline="0" collapsedLevelsAreSubtotals="1" fieldPosition="0">
        <references count="1">
          <reference field="4294967294" count="1" selected="0">
            <x v="2"/>
          </reference>
        </references>
      </pivotArea>
    </format>
    <format dxfId="106">
      <pivotArea dataOnly="0" labelOnly="1" outline="0" fieldPosition="0">
        <references count="1">
          <reference field="4294967294" count="1">
            <x v="2"/>
          </reference>
        </references>
      </pivotArea>
    </format>
    <format dxfId="105">
      <pivotArea field="6" type="button" dataOnly="0" labelOnly="1" outline="0" axis="axisRow" fieldPosition="0"/>
    </format>
    <format dxfId="104">
      <pivotArea dataOnly="0" labelOnly="1" fieldPosition="0">
        <references count="1">
          <reference field="6" count="0"/>
        </references>
      </pivotArea>
    </format>
    <format dxfId="103">
      <pivotArea dataOnly="0" labelOnly="1" grandRow="1" outline="0" fieldPosition="0"/>
    </format>
    <format dxfId="102">
      <pivotArea field="6" type="button" dataOnly="0" labelOnly="1" outline="0" axis="axisRow" fieldPosition="0"/>
    </format>
    <format dxfId="101">
      <pivotArea dataOnly="0" labelOnly="1" fieldPosition="0">
        <references count="1">
          <reference field="6" count="0"/>
        </references>
      </pivotArea>
    </format>
    <format dxfId="100">
      <pivotArea dataOnly="0" labelOnly="1" grandRow="1" outline="0" fieldPosition="0"/>
    </format>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0"/>
        </references>
      </pivotArea>
    </format>
    <format dxfId="95">
      <pivotArea dataOnly="0" labelOnly="1" grandRow="1" outline="0" fieldPosition="0"/>
    </format>
    <format dxfId="94">
      <pivotArea dataOnly="0" labelOnly="1" outline="0" fieldPosition="0">
        <references count="1">
          <reference field="4294967294" count="3">
            <x v="0"/>
            <x v="1"/>
            <x v="2"/>
          </reference>
        </references>
      </pivotArea>
    </format>
  </formats>
  <chartFormats count="12">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6" count="1" selected="0">
            <x v="0"/>
          </reference>
        </references>
      </pivotArea>
    </chartFormat>
    <chartFormat chart="9" format="5">
      <pivotArea type="data" outline="0" fieldPosition="0">
        <references count="2">
          <reference field="4294967294" count="1" selected="0">
            <x v="0"/>
          </reference>
          <reference field="6" count="1" selected="0">
            <x v="1"/>
          </reference>
        </references>
      </pivotArea>
    </chartFormat>
    <chartFormat chart="9" format="6">
      <pivotArea type="data" outline="0" fieldPosition="0">
        <references count="2">
          <reference field="4294967294" count="1" selected="0">
            <x v="0"/>
          </reference>
          <reference field="6" count="1" selected="0">
            <x v="2"/>
          </reference>
        </references>
      </pivotArea>
    </chartFormat>
    <chartFormat chart="9" format="7" series="1">
      <pivotArea type="data" outline="0" fieldPosition="0">
        <references count="1">
          <reference field="4294967294" count="1" selected="0">
            <x v="1"/>
          </reference>
        </references>
      </pivotArea>
    </chartFormat>
    <chartFormat chart="9" format="8">
      <pivotArea type="data" outline="0" fieldPosition="0">
        <references count="2">
          <reference field="4294967294" count="1" selected="0">
            <x v="1"/>
          </reference>
          <reference field="6" count="1" selected="0">
            <x v="0"/>
          </reference>
        </references>
      </pivotArea>
    </chartFormat>
    <chartFormat chart="9" format="9">
      <pivotArea type="data" outline="0" fieldPosition="0">
        <references count="2">
          <reference field="4294967294" count="1" selected="0">
            <x v="1"/>
          </reference>
          <reference field="6" count="1" selected="0">
            <x v="1"/>
          </reference>
        </references>
      </pivotArea>
    </chartFormat>
    <chartFormat chart="9" format="10">
      <pivotArea type="data" outline="0" fieldPosition="0">
        <references count="2">
          <reference field="4294967294" count="1" selected="0">
            <x v="1"/>
          </reference>
          <reference field="6" count="1" selected="0">
            <x v="2"/>
          </reference>
        </references>
      </pivotArea>
    </chartFormat>
    <chartFormat chart="9" format="11" series="1">
      <pivotArea type="data" outline="0" fieldPosition="0">
        <references count="1">
          <reference field="4294967294" count="1" selected="0">
            <x v="2"/>
          </reference>
        </references>
      </pivotArea>
    </chartFormat>
    <chartFormat chart="9" format="12">
      <pivotArea type="data" outline="0" fieldPosition="0">
        <references count="2">
          <reference field="4294967294" count="1" selected="0">
            <x v="2"/>
          </reference>
          <reference field="6" count="1" selected="0">
            <x v="0"/>
          </reference>
        </references>
      </pivotArea>
    </chartFormat>
    <chartFormat chart="9" format="13">
      <pivotArea type="data" outline="0" fieldPosition="0">
        <references count="2">
          <reference field="4294967294" count="1" selected="0">
            <x v="2"/>
          </reference>
          <reference field="6" count="1" selected="0">
            <x v="1"/>
          </reference>
        </references>
      </pivotArea>
    </chartFormat>
    <chartFormat chart="9" format="14">
      <pivotArea type="data" outline="0" fieldPosition="0">
        <references count="2">
          <reference field="4294967294" count="1" selected="0">
            <x v="2"/>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47ECD-7536-B14D-B0DF-B09E95BDFAC8}" name="Pivot Summary" cacheId="19" applyNumberFormats="0" applyBorderFormats="0" applyFontFormats="0" applyPatternFormats="0" applyAlignmentFormats="0" applyWidthHeightFormats="1" dataCaption="Values" updatedVersion="8" minRefreshableVersion="3" showDrill="0" useAutoFormatting="1" itemPrintTitles="1" mergeItem="1" createdVersion="8" indent="0" multipleFieldFilters="0" chartFormat="5" rowHeaderCaption="Department">
  <location ref="A4:E9" firstHeaderRow="0" firstDataRow="1" firstDataCol="1"/>
  <pivotFields count="14">
    <pivotField dataField="1" showAll="0"/>
    <pivotField axis="axisRow" showAll="0">
      <items count="5">
        <item x="1"/>
        <item x="0"/>
        <item x="2"/>
        <item x="3"/>
        <item t="default"/>
      </items>
    </pivotField>
    <pivotField showAll="0"/>
    <pivotField showAll="0">
      <items count="3">
        <item x="0"/>
        <item x="1"/>
        <item t="default"/>
      </items>
    </pivotField>
    <pivotField showAll="0">
      <items count="3">
        <item x="1"/>
        <item x="0"/>
        <item t="default"/>
      </items>
    </pivotField>
    <pivotField showAll="0">
      <items count="5">
        <item x="1"/>
        <item x="2"/>
        <item x="0"/>
        <item x="3"/>
        <item t="default"/>
      </items>
    </pivotField>
    <pivotField showAll="0">
      <items count="4">
        <item x="0"/>
        <item x="1"/>
        <item x="2"/>
        <item t="default"/>
      </items>
    </pivotField>
    <pivotField showAll="0"/>
    <pivotField dataField="1" showAll="0"/>
    <pivotField showAll="0"/>
    <pivotField showAll="0">
      <items count="4">
        <item x="2"/>
        <item x="0"/>
        <item x="1"/>
        <item t="default"/>
      </items>
    </pivotField>
    <pivotField showAll="0"/>
    <pivotField dataField="1" showAll="0"/>
    <pivotField dataField="1" showAll="0"/>
  </pivotFields>
  <rowFields count="1">
    <field x="1"/>
  </rowFields>
  <rowItems count="5">
    <i>
      <x/>
    </i>
    <i>
      <x v="1"/>
    </i>
    <i>
      <x v="2"/>
    </i>
    <i>
      <x v="3"/>
    </i>
    <i t="grand">
      <x/>
    </i>
  </rowItems>
  <colFields count="1">
    <field x="-2"/>
  </colFields>
  <colItems count="4">
    <i>
      <x/>
    </i>
    <i i="1">
      <x v="1"/>
    </i>
    <i i="2">
      <x v="2"/>
    </i>
    <i i="3">
      <x v="3"/>
    </i>
  </colItems>
  <dataFields count="4">
    <dataField name="Escalated Calls" fld="12" baseField="0" baseItem="0"/>
    <dataField name="Resolved Calls" fld="13" baseField="0" baseItem="0"/>
    <dataField name="Total Calls" fld="0" subtotal="count" baseField="0" baseItem="0"/>
    <dataField name="Avg Satisfaction Score" fld="8" subtotal="average" baseField="0" baseItem="0" numFmtId="2"/>
  </dataFields>
  <formats count="36">
    <format dxfId="160">
      <pivotArea field="1" type="button" dataOnly="0" labelOnly="1" outline="0" axis="axisRow" fieldPosition="0"/>
    </format>
    <format dxfId="159">
      <pivotArea dataOnly="0" labelOnly="1" fieldPosition="0">
        <references count="1">
          <reference field="1" count="0"/>
        </references>
      </pivotArea>
    </format>
    <format dxfId="158">
      <pivotArea dataOnly="0" labelOnly="1" grandRow="1" outline="0" fieldPosition="0"/>
    </format>
    <format dxfId="157">
      <pivotArea outline="0" collapsedLevelsAreSubtotals="1" fieldPosition="0">
        <references count="1">
          <reference field="4294967294" count="1" selected="0">
            <x v="0"/>
          </reference>
        </references>
      </pivotArea>
    </format>
    <format dxfId="156">
      <pivotArea dataOnly="0" labelOnly="1" outline="0" fieldPosition="0">
        <references count="1">
          <reference field="4294967294" count="1">
            <x v="0"/>
          </reference>
        </references>
      </pivotArea>
    </format>
    <format dxfId="155">
      <pivotArea outline="0" collapsedLevelsAreSubtotals="1" fieldPosition="0">
        <references count="1">
          <reference field="4294967294" count="1" selected="0">
            <x v="1"/>
          </reference>
        </references>
      </pivotArea>
    </format>
    <format dxfId="154">
      <pivotArea dataOnly="0" labelOnly="1" outline="0" fieldPosition="0">
        <references count="1">
          <reference field="4294967294" count="1">
            <x v="1"/>
          </reference>
        </references>
      </pivotArea>
    </format>
    <format dxfId="153">
      <pivotArea grandRow="1" outline="0" collapsedLevelsAreSubtotals="1" fieldPosition="0"/>
    </format>
    <format dxfId="152">
      <pivotArea dataOnly="0" labelOnly="1" grandRow="1" outline="0" fieldPosition="0"/>
    </format>
    <format dxfId="151">
      <pivotArea outline="0" collapsedLevelsAreSubtotals="1" fieldPosition="0">
        <references count="1">
          <reference field="4294967294" count="1" selected="0">
            <x v="3"/>
          </reference>
        </references>
      </pivotArea>
    </format>
    <format dxfId="150">
      <pivotArea type="all" dataOnly="0" outline="0" fieldPosition="0"/>
    </format>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outline="0" fieldPosition="0">
        <references count="1">
          <reference field="4294967294" count="4">
            <x v="0"/>
            <x v="1"/>
            <x v="2"/>
            <x v="3"/>
          </reference>
        </references>
      </pivotArea>
    </format>
    <format dxfId="144">
      <pivotArea outline="0" collapsedLevelsAreSubtotals="1" fieldPosition="0">
        <references count="1">
          <reference field="4294967294" count="1" selected="0">
            <x v="0"/>
          </reference>
        </references>
      </pivotArea>
    </format>
    <format dxfId="143">
      <pivotArea dataOnly="0" labelOnly="1" outline="0" fieldPosition="0">
        <references count="1">
          <reference field="4294967294" count="1">
            <x v="0"/>
          </reference>
        </references>
      </pivotArea>
    </format>
    <format dxfId="142">
      <pivotArea outline="0" collapsedLevelsAreSubtotals="1" fieldPosition="0">
        <references count="1">
          <reference field="4294967294" count="1" selected="0">
            <x v="1"/>
          </reference>
        </references>
      </pivotArea>
    </format>
    <format dxfId="141">
      <pivotArea dataOnly="0" labelOnly="1" outline="0" fieldPosition="0">
        <references count="1">
          <reference field="4294967294" count="1">
            <x v="1"/>
          </reference>
        </references>
      </pivotArea>
    </format>
    <format dxfId="140">
      <pivotArea outline="0" collapsedLevelsAreSubtotals="1" fieldPosition="0">
        <references count="1">
          <reference field="4294967294" count="1" selected="0">
            <x v="2"/>
          </reference>
        </references>
      </pivotArea>
    </format>
    <format dxfId="139">
      <pivotArea dataOnly="0" labelOnly="1" outline="0" fieldPosition="0">
        <references count="1">
          <reference field="4294967294" count="1">
            <x v="2"/>
          </reference>
        </references>
      </pivotArea>
    </format>
    <format dxfId="138">
      <pivotArea outline="0" collapsedLevelsAreSubtotals="1" fieldPosition="0">
        <references count="1">
          <reference field="4294967294" count="1" selected="0">
            <x v="3"/>
          </reference>
        </references>
      </pivotArea>
    </format>
    <format dxfId="137">
      <pivotArea dataOnly="0" labelOnly="1" outline="0" fieldPosition="0">
        <references count="1">
          <reference field="4294967294" count="1">
            <x v="3"/>
          </reference>
        </references>
      </pivotArea>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field="1" type="button" dataOnly="0" labelOnly="1" outline="0" axis="axisRow" fieldPosition="0"/>
    </format>
    <format dxfId="132">
      <pivotArea dataOnly="0" labelOnly="1" fieldPosition="0">
        <references count="1">
          <reference field="1" count="0"/>
        </references>
      </pivotArea>
    </format>
    <format dxfId="131">
      <pivotArea dataOnly="0" labelOnly="1" grandRow="1" outline="0" fieldPosition="0"/>
    </format>
    <format dxfId="130">
      <pivotArea type="all" dataOnly="0" outline="0" fieldPosition="0"/>
    </format>
    <format dxfId="129">
      <pivotArea outline="0" collapsedLevelsAreSubtotals="1" fieldPosition="0"/>
    </format>
    <format dxfId="128">
      <pivotArea field="1" type="button" dataOnly="0" labelOnly="1" outline="0" axis="axisRow" fieldPosition="0"/>
    </format>
    <format dxfId="127">
      <pivotArea dataOnly="0" labelOnly="1" fieldPosition="0">
        <references count="1">
          <reference field="1" count="0"/>
        </references>
      </pivotArea>
    </format>
    <format dxfId="126">
      <pivotArea dataOnly="0" labelOnly="1" grandRow="1" outline="0" fieldPosition="0"/>
    </format>
    <format dxfId="1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2CF0F-01EE-444A-90CD-03C72B3346F6}" name="Hourly Pivot" cacheId="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rowHeaderCaption="Call Hour">
  <location ref="A17:D30" firstHeaderRow="0" firstDataRow="1" firstDataCol="1"/>
  <pivotFields count="14">
    <pivotField dataField="1" showAll="0"/>
    <pivotField showAll="0">
      <items count="5">
        <item x="1"/>
        <item x="0"/>
        <item x="2"/>
        <item x="3"/>
        <item t="default"/>
      </items>
    </pivotField>
    <pivotField showAll="0"/>
    <pivotField showAll="0">
      <items count="3">
        <item x="0"/>
        <item x="1"/>
        <item t="default"/>
      </items>
    </pivotField>
    <pivotField showAll="0">
      <items count="3">
        <item x="1"/>
        <item x="0"/>
        <item t="default"/>
      </items>
    </pivotField>
    <pivotField showAll="0">
      <items count="5">
        <item x="1"/>
        <item x="2"/>
        <item x="0"/>
        <item x="3"/>
        <item t="default"/>
      </items>
    </pivotField>
    <pivotField showAll="0">
      <items count="4">
        <item x="0"/>
        <item x="1"/>
        <item x="2"/>
        <item t="default"/>
      </items>
    </pivotField>
    <pivotField showAll="0"/>
    <pivotField showAll="0"/>
    <pivotField showAll="0"/>
    <pivotField showAll="0">
      <items count="4">
        <item x="2"/>
        <item x="0"/>
        <item x="1"/>
        <item t="default"/>
      </items>
    </pivotField>
    <pivotField axis="axisRow" showAll="0">
      <items count="13">
        <item x="8"/>
        <item x="3"/>
        <item x="10"/>
        <item x="7"/>
        <item x="0"/>
        <item x="2"/>
        <item x="4"/>
        <item x="1"/>
        <item x="5"/>
        <item x="11"/>
        <item x="9"/>
        <item x="6"/>
        <item t="default"/>
      </items>
    </pivotField>
    <pivotField dataField="1" showAll="0"/>
    <pivotField dataField="1" showAll="0"/>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Escalated Calls" fld="12" baseField="0" baseItem="0"/>
    <dataField name="Resolved Calls" fld="13" baseField="0" baseItem="0"/>
    <dataField name="Total Calls" fld="0" subtotal="count" baseField="0" baseItem="0"/>
  </dataFields>
  <formats count="31">
    <format dxfId="191">
      <pivotArea field="11" type="button" dataOnly="0" labelOnly="1" outline="0" axis="axisRow" fieldPosition="0"/>
    </format>
    <format dxfId="190">
      <pivotArea dataOnly="0" labelOnly="1" fieldPosition="0">
        <references count="1">
          <reference field="11" count="0"/>
        </references>
      </pivotArea>
    </format>
    <format dxfId="189">
      <pivotArea dataOnly="0" labelOnly="1" grandRow="1" outline="0" fieldPosition="0"/>
    </format>
    <format dxfId="188">
      <pivotArea outline="0" collapsedLevelsAreSubtotals="1" fieldPosition="0">
        <references count="1">
          <reference field="4294967294" count="1" selected="0">
            <x v="0"/>
          </reference>
        </references>
      </pivotArea>
    </format>
    <format dxfId="187">
      <pivotArea dataOnly="0" labelOnly="1" outline="0" fieldPosition="0">
        <references count="1">
          <reference field="4294967294" count="1">
            <x v="0"/>
          </reference>
        </references>
      </pivotArea>
    </format>
    <format dxfId="186">
      <pivotArea outline="0" collapsedLevelsAreSubtotals="1" fieldPosition="0">
        <references count="1">
          <reference field="4294967294" count="1" selected="0">
            <x v="1"/>
          </reference>
        </references>
      </pivotArea>
    </format>
    <format dxfId="185">
      <pivotArea dataOnly="0" labelOnly="1" outline="0" fieldPosition="0">
        <references count="1">
          <reference field="4294967294" count="1">
            <x v="1"/>
          </reference>
        </references>
      </pivotArea>
    </format>
    <format dxfId="184">
      <pivotArea type="all" dataOnly="0" outline="0" fieldPosition="0"/>
    </format>
    <format dxfId="183">
      <pivotArea outline="0" collapsedLevelsAreSubtotals="1" fieldPosition="0"/>
    </format>
    <format dxfId="182">
      <pivotArea field="11" type="button" dataOnly="0" labelOnly="1" outline="0" axis="axisRow" fieldPosition="0"/>
    </format>
    <format dxfId="181">
      <pivotArea dataOnly="0" labelOnly="1" fieldPosition="0">
        <references count="1">
          <reference field="11" count="0"/>
        </references>
      </pivotArea>
    </format>
    <format dxfId="180">
      <pivotArea dataOnly="0" labelOnly="1" grandRow="1" outline="0" fieldPosition="0"/>
    </format>
    <format dxfId="179">
      <pivotArea dataOnly="0" labelOnly="1" outline="0" fieldPosition="0">
        <references count="1">
          <reference field="4294967294" count="3">
            <x v="0"/>
            <x v="1"/>
            <x v="2"/>
          </reference>
        </references>
      </pivotArea>
    </format>
    <format dxfId="178">
      <pivotArea outline="0" collapsedLevelsAreSubtotals="1" fieldPosition="0">
        <references count="1">
          <reference field="4294967294" count="1" selected="0">
            <x v="0"/>
          </reference>
        </references>
      </pivotArea>
    </format>
    <format dxfId="177">
      <pivotArea dataOnly="0" labelOnly="1" outline="0" fieldPosition="0">
        <references count="1">
          <reference field="4294967294" count="1">
            <x v="0"/>
          </reference>
        </references>
      </pivotArea>
    </format>
    <format dxfId="176">
      <pivotArea outline="0" collapsedLevelsAreSubtotals="1" fieldPosition="0">
        <references count="1">
          <reference field="4294967294" count="1" selected="0">
            <x v="1"/>
          </reference>
        </references>
      </pivotArea>
    </format>
    <format dxfId="175">
      <pivotArea dataOnly="0" labelOnly="1" outline="0" fieldPosition="0">
        <references count="1">
          <reference field="4294967294" count="1">
            <x v="1"/>
          </reference>
        </references>
      </pivotArea>
    </format>
    <format dxfId="174">
      <pivotArea outline="0" collapsedLevelsAreSubtotals="1" fieldPosition="0">
        <references count="1">
          <reference field="4294967294" count="1" selected="0">
            <x v="2"/>
          </reference>
        </references>
      </pivotArea>
    </format>
    <format dxfId="173">
      <pivotArea dataOnly="0" labelOnly="1" outline="0" fieldPosition="0">
        <references count="1">
          <reference field="4294967294" count="1">
            <x v="2"/>
          </reference>
        </references>
      </pivotArea>
    </format>
    <format dxfId="172">
      <pivotArea field="11" type="button" dataOnly="0" labelOnly="1" outline="0" axis="axisRow" fieldPosition="0"/>
    </format>
    <format dxfId="171">
      <pivotArea dataOnly="0" labelOnly="1" fieldPosition="0">
        <references count="1">
          <reference field="11" count="0"/>
        </references>
      </pivotArea>
    </format>
    <format dxfId="170">
      <pivotArea dataOnly="0" labelOnly="1" grandRow="1" outline="0" fieldPosition="0"/>
    </format>
    <format dxfId="169">
      <pivotArea field="11" type="button" dataOnly="0" labelOnly="1" outline="0" axis="axisRow" fieldPosition="0"/>
    </format>
    <format dxfId="168">
      <pivotArea dataOnly="0" labelOnly="1" fieldPosition="0">
        <references count="1">
          <reference field="11" count="0"/>
        </references>
      </pivotArea>
    </format>
    <format dxfId="167">
      <pivotArea dataOnly="0" labelOnly="1" grandRow="1" outline="0" fieldPosition="0"/>
    </format>
    <format dxfId="166">
      <pivotArea type="all" dataOnly="0" outline="0" fieldPosition="0"/>
    </format>
    <format dxfId="165">
      <pivotArea outline="0" collapsedLevelsAreSubtotals="1" fieldPosition="0"/>
    </format>
    <format dxfId="164">
      <pivotArea field="11" type="button" dataOnly="0" labelOnly="1" outline="0" axis="axisRow" fieldPosition="0"/>
    </format>
    <format dxfId="163">
      <pivotArea dataOnly="0" labelOnly="1" fieldPosition="0">
        <references count="1">
          <reference field="11" count="0"/>
        </references>
      </pivotArea>
    </format>
    <format dxfId="162">
      <pivotArea dataOnly="0" labelOnly="1" grandRow="1" outline="0" fieldPosition="0"/>
    </format>
    <format dxfId="161">
      <pivotArea dataOnly="0" labelOnly="1" outline="0" fieldPosition="0">
        <references count="1">
          <reference field="4294967294" count="3">
            <x v="0"/>
            <x v="1"/>
            <x v="2"/>
          </reference>
        </references>
      </pivotArea>
    </format>
  </formats>
  <chartFormats count="3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1" format="6">
      <pivotArea type="data" outline="0" fieldPosition="0">
        <references count="2">
          <reference field="4294967294" count="1" selected="0">
            <x v="0"/>
          </reference>
          <reference field="11" count="1" selected="0">
            <x v="2"/>
          </reference>
        </references>
      </pivotArea>
    </chartFormat>
    <chartFormat chart="1" format="7">
      <pivotArea type="data" outline="0" fieldPosition="0">
        <references count="2">
          <reference field="4294967294" count="1" selected="0">
            <x v="0"/>
          </reference>
          <reference field="11" count="1" selected="0">
            <x v="3"/>
          </reference>
        </references>
      </pivotArea>
    </chartFormat>
    <chartFormat chart="1" format="8">
      <pivotArea type="data" outline="0" fieldPosition="0">
        <references count="2">
          <reference field="4294967294" count="1" selected="0">
            <x v="0"/>
          </reference>
          <reference field="11" count="1" selected="0">
            <x v="4"/>
          </reference>
        </references>
      </pivotArea>
    </chartFormat>
    <chartFormat chart="1" format="9">
      <pivotArea type="data" outline="0" fieldPosition="0">
        <references count="2">
          <reference field="4294967294" count="1" selected="0">
            <x v="0"/>
          </reference>
          <reference field="11" count="1" selected="0">
            <x v="5"/>
          </reference>
        </references>
      </pivotArea>
    </chartFormat>
    <chartFormat chart="1" format="10">
      <pivotArea type="data" outline="0" fieldPosition="0">
        <references count="2">
          <reference field="4294967294" count="1" selected="0">
            <x v="0"/>
          </reference>
          <reference field="11" count="1" selected="0">
            <x v="6"/>
          </reference>
        </references>
      </pivotArea>
    </chartFormat>
    <chartFormat chart="1" format="11">
      <pivotArea type="data" outline="0" fieldPosition="0">
        <references count="2">
          <reference field="4294967294" count="1" selected="0">
            <x v="0"/>
          </reference>
          <reference field="11" count="1" selected="0">
            <x v="7"/>
          </reference>
        </references>
      </pivotArea>
    </chartFormat>
    <chartFormat chart="1" format="12">
      <pivotArea type="data" outline="0" fieldPosition="0">
        <references count="2">
          <reference field="4294967294" count="1" selected="0">
            <x v="0"/>
          </reference>
          <reference field="11" count="1" selected="0">
            <x v="0"/>
          </reference>
        </references>
      </pivotArea>
    </chartFormat>
    <chartFormat chart="1" format="13">
      <pivotArea type="data" outline="0" fieldPosition="0">
        <references count="2">
          <reference field="4294967294" count="1" selected="0">
            <x v="0"/>
          </reference>
          <reference field="11" count="1" selected="0">
            <x v="1"/>
          </reference>
        </references>
      </pivotArea>
    </chartFormat>
    <chartFormat chart="1" format="14">
      <pivotArea type="data" outline="0" fieldPosition="0">
        <references count="2">
          <reference field="4294967294" count="1" selected="0">
            <x v="1"/>
          </reference>
          <reference field="11" count="1" selected="0">
            <x v="6"/>
          </reference>
        </references>
      </pivotArea>
    </chartFormat>
    <chartFormat chart="1" format="15">
      <pivotArea type="data" outline="0" fieldPosition="0">
        <references count="2">
          <reference field="4294967294" count="1" selected="0">
            <x v="1"/>
          </reference>
          <reference field="11" count="1" selected="0">
            <x v="7"/>
          </reference>
        </references>
      </pivotArea>
    </chartFormat>
    <chartFormat chart="1" format="16">
      <pivotArea type="data" outline="0" fieldPosition="0">
        <references count="2">
          <reference field="4294967294" count="1" selected="0">
            <x v="1"/>
          </reference>
          <reference field="11" count="1" selected="0">
            <x v="8"/>
          </reference>
        </references>
      </pivotArea>
    </chartFormat>
    <chartFormat chart="1" format="17">
      <pivotArea type="data" outline="0" fieldPosition="0">
        <references count="2">
          <reference field="4294967294" count="1" selected="0">
            <x v="1"/>
          </reference>
          <reference field="11" count="1" selected="0">
            <x v="9"/>
          </reference>
        </references>
      </pivotArea>
    </chartFormat>
    <chartFormat chart="1" format="18">
      <pivotArea type="data" outline="0" fieldPosition="0">
        <references count="2">
          <reference field="4294967294" count="1" selected="0">
            <x v="1"/>
          </reference>
          <reference field="11" count="1" selected="0">
            <x v="10"/>
          </reference>
        </references>
      </pivotArea>
    </chartFormat>
    <chartFormat chart="1" format="19">
      <pivotArea type="data" outline="0" fieldPosition="0">
        <references count="2">
          <reference field="4294967294" count="1" selected="0">
            <x v="1"/>
          </reference>
          <reference field="11" count="1" selected="0">
            <x v="11"/>
          </reference>
        </references>
      </pivotArea>
    </chartFormat>
    <chartFormat chart="1" format="20">
      <pivotArea type="data" outline="0" fieldPosition="0">
        <references count="2">
          <reference field="4294967294" count="1" selected="0">
            <x v="1"/>
          </reference>
          <reference field="11" count="1" selected="0">
            <x v="1"/>
          </reference>
        </references>
      </pivotArea>
    </chartFormat>
    <chartFormat chart="1" format="21">
      <pivotArea type="data" outline="0" fieldPosition="0">
        <references count="2">
          <reference field="4294967294" count="1" selected="0">
            <x v="1"/>
          </reference>
          <reference field="11" count="1" selected="0">
            <x v="2"/>
          </reference>
        </references>
      </pivotArea>
    </chartFormat>
    <chartFormat chart="1" format="22">
      <pivotArea type="data" outline="0" fieldPosition="0">
        <references count="2">
          <reference field="4294967294" count="1" selected="0">
            <x v="1"/>
          </reference>
          <reference field="11" count="1" selected="0">
            <x v="3"/>
          </reference>
        </references>
      </pivotArea>
    </chartFormat>
    <chartFormat chart="1" format="23">
      <pivotArea type="data" outline="0" fieldPosition="0">
        <references count="2">
          <reference field="4294967294" count="1" selected="0">
            <x v="1"/>
          </reference>
          <reference field="11" count="1" selected="0">
            <x v="0"/>
          </reference>
        </references>
      </pivotArea>
    </chartFormat>
    <chartFormat chart="1" format="24">
      <pivotArea type="data" outline="0" fieldPosition="0">
        <references count="2">
          <reference field="4294967294" count="1" selected="0">
            <x v="2"/>
          </reference>
          <reference field="11" count="1" selected="0">
            <x v="3"/>
          </reference>
        </references>
      </pivotArea>
    </chartFormat>
    <chartFormat chart="1" format="25">
      <pivotArea type="data" outline="0" fieldPosition="0">
        <references count="2">
          <reference field="4294967294" count="1" selected="0">
            <x v="2"/>
          </reference>
          <reference field="11" count="1" selected="0">
            <x v="1"/>
          </reference>
        </references>
      </pivotArea>
    </chartFormat>
    <chartFormat chart="1" format="26">
      <pivotArea type="data" outline="0" fieldPosition="0">
        <references count="2">
          <reference field="4294967294" count="1" selected="0">
            <x v="2"/>
          </reference>
          <reference field="11" count="1" selected="0">
            <x v="2"/>
          </reference>
        </references>
      </pivotArea>
    </chartFormat>
    <chartFormat chart="1" format="27">
      <pivotArea type="data" outline="0" fieldPosition="0">
        <references count="2">
          <reference field="4294967294" count="1" selected="0">
            <x v="2"/>
          </reference>
          <reference field="11" count="1" selected="0">
            <x v="0"/>
          </reference>
        </references>
      </pivotArea>
    </chartFormat>
    <chartFormat chart="1" format="28">
      <pivotArea type="data" outline="0" fieldPosition="0">
        <references count="2">
          <reference field="4294967294" count="1" selected="0">
            <x v="2"/>
          </reference>
          <reference field="11" count="1" selected="0">
            <x v="4"/>
          </reference>
        </references>
      </pivotArea>
    </chartFormat>
    <chartFormat chart="1" format="29">
      <pivotArea type="data" outline="0" fieldPosition="0">
        <references count="2">
          <reference field="4294967294" count="1" selected="0">
            <x v="2"/>
          </reference>
          <reference field="11" count="1" selected="0">
            <x v="5"/>
          </reference>
        </references>
      </pivotArea>
    </chartFormat>
    <chartFormat chart="1" format="30">
      <pivotArea type="data" outline="0" fieldPosition="0">
        <references count="2">
          <reference field="4294967294" count="1" selected="0">
            <x v="2"/>
          </reference>
          <reference field="11" count="1" selected="0">
            <x v="6"/>
          </reference>
        </references>
      </pivotArea>
    </chartFormat>
    <chartFormat chart="1" format="31">
      <pivotArea type="data" outline="0" fieldPosition="0">
        <references count="2">
          <reference field="4294967294" count="1" selected="0">
            <x v="2"/>
          </reference>
          <reference field="11" count="1" selected="0">
            <x v="7"/>
          </reference>
        </references>
      </pivotArea>
    </chartFormat>
    <chartFormat chart="1" format="32">
      <pivotArea type="data" outline="0" fieldPosition="0">
        <references count="2">
          <reference field="4294967294" count="1" selected="0">
            <x v="2"/>
          </reference>
          <reference field="11" count="1" selected="0">
            <x v="8"/>
          </reference>
        </references>
      </pivotArea>
    </chartFormat>
    <chartFormat chart="1" format="33">
      <pivotArea type="data" outline="0" fieldPosition="0">
        <references count="2">
          <reference field="4294967294" count="1" selected="0">
            <x v="2"/>
          </reference>
          <reference field="11" count="1" selected="0">
            <x v="10"/>
          </reference>
        </references>
      </pivotArea>
    </chartFormat>
    <chartFormat chart="1" format="34">
      <pivotArea type="data" outline="0" fieldPosition="0">
        <references count="2">
          <reference field="4294967294" count="1" selected="0">
            <x v="2"/>
          </reference>
          <reference field="11" count="1" selected="0">
            <x v="9"/>
          </reference>
        </references>
      </pivotArea>
    </chartFormat>
    <chartFormat chart="1" format="35">
      <pivotArea type="data" outline="0" fieldPosition="0">
        <references count="2">
          <reference field="4294967294" count="1" selected="0">
            <x v="2"/>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Hour" xr10:uid="{ECFF17F6-CC2D-7247-BE75-2E62C66F331C}" sourceName="Call Hour">
  <pivotTables>
    <pivotTable tabId="7" name="Hourly Pivot"/>
  </pivotTables>
  <data>
    <tabular pivotCacheId="562709239">
      <items count="12">
        <i x="8" s="1"/>
        <i x="3" s="1"/>
        <i x="10" s="1"/>
        <i x="7" s="1"/>
        <i x="0" s="1"/>
        <i x="2" s="1"/>
        <i x="4" s="1"/>
        <i x="1" s="1"/>
        <i x="5" s="1"/>
        <i x="11"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C9A723B-61EF-BA4B-B185-BE0A16357A73}" sourceName="Customer Segment">
  <pivotTables>
    <pivotTable tabId="7" name="Pivot Summary"/>
    <pivotTable tabId="7" name="Call Distribution Pivot"/>
    <pivotTable tabId="7" name="Hourly Pivot"/>
  </pivotTables>
  <data>
    <tabular pivotCacheId="56270923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calated" xr10:uid="{F73B6E6C-7180-F74A-B523-5FC7226364F7}" sourceName="Escalated">
  <pivotTables>
    <pivotTable tabId="7" name="Pivot Summary"/>
    <pivotTable tabId="7" name="Call Distribution Pivot"/>
    <pivotTable tabId="7" name="Hourly Pivot"/>
  </pivotTables>
  <data>
    <tabular pivotCacheId="562709239" sortOrder="descending">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ved" xr10:uid="{02ECCED5-4C96-3742-9894-C29BF0A404A4}" sourceName="Resolved">
  <pivotTables>
    <pivotTable tabId="7" name="Pivot Summary"/>
    <pivotTable tabId="7" name="Call Distribution Pivot"/>
    <pivotTable tabId="7" name="Hourly Pivot"/>
  </pivotTables>
  <data>
    <tabular pivotCacheId="562709239" sortOrder="descending">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Type" xr10:uid="{5774782B-11F7-EC41-A488-0CCC908CAFDC}" sourceName="Call Type">
  <pivotTables>
    <pivotTable tabId="7" name="Pivot Summary"/>
    <pivotTable tabId="7" name="Call Distribution Pivot"/>
    <pivotTable tabId="7" name="Hourly Pivot"/>
  </pivotTables>
  <data>
    <tabular pivotCacheId="562709239">
      <items count="4">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7481C9-954E-3746-9F2E-DACCED61D017}" sourceName="Department">
  <pivotTables>
    <pivotTable tabId="7" name="Pivot Summary"/>
    <pivotTable tabId="7" name="Call Distribution Pivot"/>
    <pivotTable tabId="7" name="Hourly Pivot"/>
  </pivotTables>
  <data>
    <tabular pivotCacheId="562709239">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52ECF16-823E-F949-AF6B-E2987B35D2E8}" sourceName="Channel">
  <pivotTables>
    <pivotTable tabId="7" name="Pivot Summary"/>
    <pivotTable tabId="7" name="Call Distribution Pivot"/>
    <pivotTable tabId="7" name="Hourly Pivot"/>
  </pivotTables>
  <data>
    <tabular pivotCacheId="562709239" sortOrder="descending">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 Hour" xr10:uid="{1E6BE0DE-FB85-6B49-9490-BBE25344F9E2}" cache="Slicer_Call_Hour" caption="Call Hour" columnCount="2" rowHeight="457200"/>
  <slicer name="35" xr10:uid="{9182F1DC-AD94-684D-B9BC-375D501B1A96}" cache="Slicer_Customer_Segment" caption="Customer Segment" columnCount="3" rowHeight="457200"/>
  <slicer name="Escalated" xr10:uid="{77DCE689-97BA-B04D-A616-857AB031B3C9}" cache="Slicer_Escalated" caption="Escalated" columnCount="2" rowHeight="457200"/>
  <slicer name="Resolved" xr10:uid="{BC72193C-7FD4-9A4C-9793-623EDE60C573}" cache="Slicer_Resolved" caption="Resolved" columnCount="2" rowHeight="457200"/>
  <slicer name="Call Type" xr10:uid="{B0F7ACCB-D9A9-AA41-937D-77802BFEA05C}" cache="Slicer_Call_Type" caption="Call Type" columnCount="2" rowHeight="457200"/>
  <slicer name="Department" xr10:uid="{673D2DF5-0397-3444-A046-8C8773044A6C}" cache="Slicer_Department" caption="Department" columnCount="2" rowHeight="457200"/>
  <slicer name="Channel" xr10:uid="{AA286419-371D-D340-950B-4319784F21EE}" cache="Slicer_Channel" caption="Channel" columnCount="3"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76F8C9-44ED-C04A-B314-2551B9920EA4}" name="Table1" displayName="Table1" ref="A1:N301" headerRowDxfId="31" dataDxfId="0" headerRowBorderDxfId="29" tableBorderDxfId="30">
  <autoFilter ref="A1:N301" xr:uid="{4076F8C9-44ED-C04A-B314-2551B9920E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4E07A12-0879-3341-90E0-7ECA072D7297}" name="Call ID" totalsRowLabel="Total" dataDxfId="14" totalsRowDxfId="28"/>
    <tableColumn id="2" xr3:uid="{093615DB-6E80-D344-B6F3-67FE69E40C45}" name="Department" dataDxfId="13" totalsRowDxfId="27"/>
    <tableColumn id="3" xr3:uid="{34433B71-7F4A-AC4A-B5D4-E3230101B92C}" name="Duration (min)" dataDxfId="12" totalsRowDxfId="26"/>
    <tableColumn id="4" xr3:uid="{DC62A4B6-1EF3-4B42-82F2-B6D1EF6C32AF}" name="Escalated" dataDxfId="11" totalsRowDxfId="25"/>
    <tableColumn id="5" xr3:uid="{748263FF-57E0-5A46-8BB1-CCDB2B8844C4}" name="Resolved" dataDxfId="10" totalsRowDxfId="24"/>
    <tableColumn id="6" xr3:uid="{6764835F-4AAE-C443-8D15-BDA3190F84A4}" name="Call Type" dataDxfId="9" totalsRowDxfId="23"/>
    <tableColumn id="7" xr3:uid="{EBF52535-39FA-994F-AF6D-D4F0F98184B6}" name="Customer Segment" dataDxfId="8" totalsRowDxfId="22"/>
    <tableColumn id="8" xr3:uid="{4DD6EF2D-0738-1340-9314-957F695A0638}" name="Repeat Caller" dataDxfId="7" totalsRowDxfId="21"/>
    <tableColumn id="9" xr3:uid="{74A3768E-4634-DA4D-B6E9-2AE2465778BE}" name="Satisfaction Score" dataDxfId="6" totalsRowDxfId="20"/>
    <tableColumn id="10" xr3:uid="{AA72906F-A7EC-7F45-8D5E-BCA83FF41897}" name="CSR ID" dataDxfId="5" totalsRowDxfId="19"/>
    <tableColumn id="11" xr3:uid="{6BA6092A-8A86-2F46-A48C-B0F1FF744D5B}" name="Channel" dataDxfId="4" totalsRowDxfId="18"/>
    <tableColumn id="12" xr3:uid="{1E76E3EC-0CB1-1242-AC25-16541C90397B}" name="Call Hour" dataDxfId="3" totalsRowDxfId="17"/>
    <tableColumn id="13" xr3:uid="{86D14E68-3CCE-444F-B9F4-69C054B525BB}" name="Escalated Flag" dataDxfId="2" totalsRowDxfId="16">
      <calculatedColumnFormula>IF(D2="Yes",1,0)</calculatedColumnFormula>
    </tableColumn>
    <tableColumn id="14" xr3:uid="{807FE871-FC23-8242-B4B1-BB087C476CA1}" name="Resolved Flag" totalsRowFunction="sum" dataDxfId="1" totalsRowDxfId="15">
      <calculatedColumnFormula>IF(E2="Yes",1,0)</calculatedColumnFormula>
    </tableColumn>
  </tableColumns>
  <tableStyleInfo name="TableStyleMedium2" showFirstColumn="0" showLastColumn="0" showRowStripes="0"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01"/>
  <sheetViews>
    <sheetView tabSelected="1" topLeftCell="C1" zoomScale="75" workbookViewId="0">
      <selection activeCell="O15" sqref="O15"/>
    </sheetView>
  </sheetViews>
  <sheetFormatPr baseColWidth="10" defaultColWidth="8.83203125" defaultRowHeight="15" x14ac:dyDescent="0.2"/>
  <cols>
    <col min="1" max="1" width="4.83203125" bestFit="1" customWidth="1"/>
    <col min="2" max="2" width="12.1640625" bestFit="1" customWidth="1"/>
    <col min="3" max="3" width="13.6640625" bestFit="1" customWidth="1"/>
    <col min="4" max="5" width="9.33203125" bestFit="1" customWidth="1"/>
    <col min="6" max="6" width="12.1640625" bestFit="1" customWidth="1"/>
    <col min="7" max="7" width="17.6640625" bestFit="1" customWidth="1"/>
    <col min="8" max="8" width="12.6640625" bestFit="1" customWidth="1"/>
    <col min="9" max="9" width="16.33203125" bestFit="1" customWidth="1"/>
    <col min="10" max="10" width="8" bestFit="1" customWidth="1"/>
    <col min="11" max="11" width="8.33203125" bestFit="1" customWidth="1"/>
    <col min="12" max="12" width="9" bestFit="1" customWidth="1"/>
    <col min="13" max="13" width="13" bestFit="1" customWidth="1"/>
    <col min="14" max="14" width="12.83203125" bestFit="1" customWidth="1"/>
    <col min="15" max="15" width="37.6640625" customWidth="1"/>
  </cols>
  <sheetData>
    <row r="1" spans="1:14" s="5" customFormat="1" ht="16" x14ac:dyDescent="0.2">
      <c r="A1" s="4" t="s">
        <v>0</v>
      </c>
      <c r="B1" s="4" t="s">
        <v>1</v>
      </c>
      <c r="C1" s="4" t="s">
        <v>2</v>
      </c>
      <c r="D1" s="4" t="s">
        <v>3</v>
      </c>
      <c r="E1" s="4" t="s">
        <v>4</v>
      </c>
      <c r="F1" s="4" t="s">
        <v>5</v>
      </c>
      <c r="G1" s="4" t="s">
        <v>6</v>
      </c>
      <c r="H1" s="4" t="s">
        <v>7</v>
      </c>
      <c r="I1" s="4" t="s">
        <v>8</v>
      </c>
      <c r="J1" s="4" t="s">
        <v>9</v>
      </c>
      <c r="K1" s="4" t="s">
        <v>10</v>
      </c>
      <c r="L1" s="4" t="s">
        <v>11</v>
      </c>
      <c r="M1" s="4" t="s">
        <v>51</v>
      </c>
      <c r="N1" s="4" t="s">
        <v>52</v>
      </c>
    </row>
    <row r="2" spans="1:14" ht="16" x14ac:dyDescent="0.2">
      <c r="A2" s="40">
        <v>1</v>
      </c>
      <c r="B2" s="40" t="s">
        <v>12</v>
      </c>
      <c r="C2" s="40">
        <v>13.2</v>
      </c>
      <c r="D2" s="40" t="s">
        <v>16</v>
      </c>
      <c r="E2" s="40" t="s">
        <v>17</v>
      </c>
      <c r="F2" s="40" t="s">
        <v>18</v>
      </c>
      <c r="G2" s="40" t="s">
        <v>22</v>
      </c>
      <c r="H2" s="40" t="s">
        <v>17</v>
      </c>
      <c r="I2" s="40">
        <v>5</v>
      </c>
      <c r="J2" s="40" t="s">
        <v>25</v>
      </c>
      <c r="K2" s="40" t="s">
        <v>45</v>
      </c>
      <c r="L2" s="40">
        <v>12</v>
      </c>
      <c r="M2" s="40">
        <f t="shared" ref="M2:M65" si="0">IF(D2="Yes",1,0)</f>
        <v>0</v>
      </c>
      <c r="N2" s="40">
        <f t="shared" ref="N2:N65" si="1">IF(E2="Yes",1,0)</f>
        <v>1</v>
      </c>
    </row>
    <row r="3" spans="1:14" ht="16" x14ac:dyDescent="0.2">
      <c r="A3" s="40">
        <v>2</v>
      </c>
      <c r="B3" s="40" t="s">
        <v>13</v>
      </c>
      <c r="C3" s="40">
        <v>16.5</v>
      </c>
      <c r="D3" s="40" t="s">
        <v>16</v>
      </c>
      <c r="E3" s="40" t="s">
        <v>17</v>
      </c>
      <c r="F3" s="40" t="s">
        <v>18</v>
      </c>
      <c r="G3" s="40" t="s">
        <v>23</v>
      </c>
      <c r="H3" s="40" t="s">
        <v>16</v>
      </c>
      <c r="I3" s="40">
        <v>3</v>
      </c>
      <c r="J3" s="40" t="s">
        <v>26</v>
      </c>
      <c r="K3" s="40" t="s">
        <v>46</v>
      </c>
      <c r="L3" s="40">
        <v>15</v>
      </c>
      <c r="M3" s="40">
        <f t="shared" si="0"/>
        <v>0</v>
      </c>
      <c r="N3" s="40">
        <f t="shared" si="1"/>
        <v>1</v>
      </c>
    </row>
    <row r="4" spans="1:14" ht="16" x14ac:dyDescent="0.2">
      <c r="A4" s="40">
        <v>3</v>
      </c>
      <c r="B4" s="40" t="s">
        <v>14</v>
      </c>
      <c r="C4" s="40">
        <v>9.9</v>
      </c>
      <c r="D4" s="40" t="s">
        <v>16</v>
      </c>
      <c r="E4" s="40" t="s">
        <v>17</v>
      </c>
      <c r="F4" s="40" t="s">
        <v>19</v>
      </c>
      <c r="G4" s="40" t="s">
        <v>22</v>
      </c>
      <c r="H4" s="40" t="s">
        <v>16</v>
      </c>
      <c r="I4" s="40">
        <v>4</v>
      </c>
      <c r="J4" s="40" t="s">
        <v>27</v>
      </c>
      <c r="K4" s="40" t="s">
        <v>45</v>
      </c>
      <c r="L4" s="40">
        <v>12</v>
      </c>
      <c r="M4" s="40">
        <f t="shared" si="0"/>
        <v>0</v>
      </c>
      <c r="N4" s="40">
        <f t="shared" si="1"/>
        <v>1</v>
      </c>
    </row>
    <row r="5" spans="1:14" ht="16" x14ac:dyDescent="0.2">
      <c r="A5" s="40">
        <v>4</v>
      </c>
      <c r="B5" s="40" t="s">
        <v>15</v>
      </c>
      <c r="C5" s="40">
        <v>9.3000000000000007</v>
      </c>
      <c r="D5" s="40" t="s">
        <v>16</v>
      </c>
      <c r="E5" s="40" t="s">
        <v>16</v>
      </c>
      <c r="F5" s="40" t="s">
        <v>18</v>
      </c>
      <c r="G5" s="40" t="s">
        <v>23</v>
      </c>
      <c r="H5" s="40" t="s">
        <v>16</v>
      </c>
      <c r="I5" s="40">
        <v>3</v>
      </c>
      <c r="J5" s="40" t="s">
        <v>28</v>
      </c>
      <c r="K5" s="40" t="s">
        <v>45</v>
      </c>
      <c r="L5" s="40">
        <v>12</v>
      </c>
      <c r="M5" s="40">
        <f t="shared" si="0"/>
        <v>0</v>
      </c>
      <c r="N5" s="40">
        <f t="shared" si="1"/>
        <v>0</v>
      </c>
    </row>
    <row r="6" spans="1:14" ht="16" x14ac:dyDescent="0.2">
      <c r="A6" s="40">
        <v>5</v>
      </c>
      <c r="B6" s="40" t="s">
        <v>14</v>
      </c>
      <c r="C6" s="40">
        <v>4.5999999999999996</v>
      </c>
      <c r="D6" s="40" t="s">
        <v>16</v>
      </c>
      <c r="E6" s="40" t="s">
        <v>16</v>
      </c>
      <c r="F6" s="40" t="s">
        <v>20</v>
      </c>
      <c r="G6" s="40" t="s">
        <v>23</v>
      </c>
      <c r="H6" s="40" t="s">
        <v>16</v>
      </c>
      <c r="I6" s="40">
        <v>1</v>
      </c>
      <c r="J6" s="40" t="s">
        <v>25</v>
      </c>
      <c r="K6" s="40" t="s">
        <v>45</v>
      </c>
      <c r="L6" s="40">
        <v>13</v>
      </c>
      <c r="M6" s="40">
        <f t="shared" si="0"/>
        <v>0</v>
      </c>
      <c r="N6" s="40">
        <f t="shared" si="1"/>
        <v>0</v>
      </c>
    </row>
    <row r="7" spans="1:14" ht="16" x14ac:dyDescent="0.2">
      <c r="A7" s="40">
        <v>6</v>
      </c>
      <c r="B7" s="40" t="s">
        <v>12</v>
      </c>
      <c r="C7" s="40">
        <v>5.9</v>
      </c>
      <c r="D7" s="40" t="s">
        <v>16</v>
      </c>
      <c r="E7" s="40" t="s">
        <v>17</v>
      </c>
      <c r="F7" s="40" t="s">
        <v>18</v>
      </c>
      <c r="G7" s="40" t="s">
        <v>22</v>
      </c>
      <c r="H7" s="40" t="s">
        <v>16</v>
      </c>
      <c r="I7" s="40">
        <v>5</v>
      </c>
      <c r="J7" s="40" t="s">
        <v>29</v>
      </c>
      <c r="K7" s="40" t="s">
        <v>45</v>
      </c>
      <c r="L7" s="40">
        <v>9</v>
      </c>
      <c r="M7" s="40">
        <f t="shared" si="0"/>
        <v>0</v>
      </c>
      <c r="N7" s="40">
        <f t="shared" si="1"/>
        <v>1</v>
      </c>
    </row>
    <row r="8" spans="1:14" ht="16" x14ac:dyDescent="0.2">
      <c r="A8" s="40">
        <v>7</v>
      </c>
      <c r="B8" s="40" t="s">
        <v>12</v>
      </c>
      <c r="C8" s="40">
        <v>2.8</v>
      </c>
      <c r="D8" s="40" t="s">
        <v>16</v>
      </c>
      <c r="E8" s="40" t="s">
        <v>17</v>
      </c>
      <c r="F8" s="40" t="s">
        <v>18</v>
      </c>
      <c r="G8" s="40" t="s">
        <v>23</v>
      </c>
      <c r="H8" s="40" t="s">
        <v>17</v>
      </c>
      <c r="I8" s="40">
        <v>4</v>
      </c>
      <c r="J8" s="40" t="s">
        <v>30</v>
      </c>
      <c r="K8" s="40" t="s">
        <v>45</v>
      </c>
      <c r="L8" s="40">
        <v>14</v>
      </c>
      <c r="M8" s="40">
        <f t="shared" si="0"/>
        <v>0</v>
      </c>
      <c r="N8" s="40">
        <f t="shared" si="1"/>
        <v>1</v>
      </c>
    </row>
    <row r="9" spans="1:14" ht="16" x14ac:dyDescent="0.2">
      <c r="A9" s="40">
        <v>8</v>
      </c>
      <c r="B9" s="40" t="s">
        <v>14</v>
      </c>
      <c r="C9" s="40">
        <v>5.2</v>
      </c>
      <c r="D9" s="40" t="s">
        <v>16</v>
      </c>
      <c r="E9" s="40" t="s">
        <v>17</v>
      </c>
      <c r="F9" s="40" t="s">
        <v>20</v>
      </c>
      <c r="G9" s="40" t="s">
        <v>24</v>
      </c>
      <c r="H9" s="40" t="s">
        <v>16</v>
      </c>
      <c r="I9" s="40">
        <v>5</v>
      </c>
      <c r="J9" s="40" t="s">
        <v>27</v>
      </c>
      <c r="K9" s="40" t="s">
        <v>45</v>
      </c>
      <c r="L9" s="40">
        <v>16</v>
      </c>
      <c r="M9" s="40">
        <f t="shared" si="0"/>
        <v>0</v>
      </c>
      <c r="N9" s="40">
        <f t="shared" si="1"/>
        <v>1</v>
      </c>
    </row>
    <row r="10" spans="1:14" ht="16" x14ac:dyDescent="0.2">
      <c r="A10" s="40">
        <v>9</v>
      </c>
      <c r="B10" s="40" t="s">
        <v>15</v>
      </c>
      <c r="C10" s="40">
        <v>15.5</v>
      </c>
      <c r="D10" s="40" t="s">
        <v>16</v>
      </c>
      <c r="E10" s="40" t="s">
        <v>17</v>
      </c>
      <c r="F10" s="40" t="s">
        <v>21</v>
      </c>
      <c r="G10" s="40" t="s">
        <v>23</v>
      </c>
      <c r="H10" s="40" t="s">
        <v>16</v>
      </c>
      <c r="I10" s="40">
        <v>4</v>
      </c>
      <c r="J10" s="40" t="s">
        <v>31</v>
      </c>
      <c r="K10" s="40" t="s">
        <v>45</v>
      </c>
      <c r="L10" s="40">
        <v>12</v>
      </c>
      <c r="M10" s="40">
        <f t="shared" si="0"/>
        <v>0</v>
      </c>
      <c r="N10" s="40">
        <f t="shared" si="1"/>
        <v>1</v>
      </c>
    </row>
    <row r="11" spans="1:14" ht="16" x14ac:dyDescent="0.2">
      <c r="A11" s="40">
        <v>10</v>
      </c>
      <c r="B11" s="40" t="s">
        <v>14</v>
      </c>
      <c r="C11" s="40">
        <v>15</v>
      </c>
      <c r="D11" s="40" t="s">
        <v>16</v>
      </c>
      <c r="E11" s="40" t="s">
        <v>16</v>
      </c>
      <c r="F11" s="40" t="s">
        <v>21</v>
      </c>
      <c r="G11" s="40" t="s">
        <v>23</v>
      </c>
      <c r="H11" s="40" t="s">
        <v>16</v>
      </c>
      <c r="I11" s="40">
        <v>4</v>
      </c>
      <c r="J11" s="40" t="s">
        <v>32</v>
      </c>
      <c r="K11" s="40" t="s">
        <v>45</v>
      </c>
      <c r="L11" s="40">
        <v>19</v>
      </c>
      <c r="M11" s="40">
        <f t="shared" si="0"/>
        <v>0</v>
      </c>
      <c r="N11" s="40">
        <f t="shared" si="1"/>
        <v>0</v>
      </c>
    </row>
    <row r="12" spans="1:14" ht="16" x14ac:dyDescent="0.2">
      <c r="A12" s="40">
        <v>11</v>
      </c>
      <c r="B12" s="40" t="s">
        <v>12</v>
      </c>
      <c r="C12" s="40">
        <v>18.3</v>
      </c>
      <c r="D12" s="40" t="s">
        <v>16</v>
      </c>
      <c r="E12" s="40" t="s">
        <v>17</v>
      </c>
      <c r="F12" s="40" t="s">
        <v>20</v>
      </c>
      <c r="G12" s="40" t="s">
        <v>23</v>
      </c>
      <c r="H12" s="40" t="s">
        <v>17</v>
      </c>
      <c r="I12" s="40">
        <v>3</v>
      </c>
      <c r="J12" s="40" t="s">
        <v>33</v>
      </c>
      <c r="K12" s="40" t="s">
        <v>45</v>
      </c>
      <c r="L12" s="40">
        <v>13</v>
      </c>
      <c r="M12" s="40">
        <f t="shared" si="0"/>
        <v>0</v>
      </c>
      <c r="N12" s="40">
        <f t="shared" si="1"/>
        <v>1</v>
      </c>
    </row>
    <row r="13" spans="1:14" ht="16" x14ac:dyDescent="0.2">
      <c r="A13" s="40">
        <v>12</v>
      </c>
      <c r="B13" s="40" t="s">
        <v>15</v>
      </c>
      <c r="C13" s="40">
        <v>17.399999999999999</v>
      </c>
      <c r="D13" s="40" t="s">
        <v>16</v>
      </c>
      <c r="E13" s="40" t="s">
        <v>16</v>
      </c>
      <c r="F13" s="40" t="s">
        <v>19</v>
      </c>
      <c r="G13" s="40" t="s">
        <v>24</v>
      </c>
      <c r="H13" s="40" t="s">
        <v>16</v>
      </c>
      <c r="I13" s="40">
        <v>4</v>
      </c>
      <c r="J13" s="40" t="s">
        <v>34</v>
      </c>
      <c r="K13" s="40" t="s">
        <v>47</v>
      </c>
      <c r="L13" s="40">
        <v>11</v>
      </c>
      <c r="M13" s="40">
        <f t="shared" si="0"/>
        <v>0</v>
      </c>
      <c r="N13" s="40">
        <f t="shared" si="1"/>
        <v>0</v>
      </c>
    </row>
    <row r="14" spans="1:14" ht="16" x14ac:dyDescent="0.2">
      <c r="A14" s="40">
        <v>13</v>
      </c>
      <c r="B14" s="40" t="s">
        <v>12</v>
      </c>
      <c r="C14" s="40">
        <v>19.399999999999999</v>
      </c>
      <c r="D14" s="40" t="s">
        <v>16</v>
      </c>
      <c r="E14" s="40" t="s">
        <v>16</v>
      </c>
      <c r="F14" s="40" t="s">
        <v>19</v>
      </c>
      <c r="G14" s="40" t="s">
        <v>22</v>
      </c>
      <c r="H14" s="40" t="s">
        <v>16</v>
      </c>
      <c r="I14" s="40">
        <v>3</v>
      </c>
      <c r="J14" s="40" t="s">
        <v>25</v>
      </c>
      <c r="K14" s="40" t="s">
        <v>45</v>
      </c>
      <c r="L14" s="40">
        <v>19</v>
      </c>
      <c r="M14" s="40">
        <f t="shared" si="0"/>
        <v>0</v>
      </c>
      <c r="N14" s="40">
        <f t="shared" si="1"/>
        <v>0</v>
      </c>
    </row>
    <row r="15" spans="1:14" ht="16" x14ac:dyDescent="0.2">
      <c r="A15" s="40">
        <v>14</v>
      </c>
      <c r="B15" s="40" t="s">
        <v>15</v>
      </c>
      <c r="C15" s="40">
        <v>12.4</v>
      </c>
      <c r="D15" s="40" t="s">
        <v>16</v>
      </c>
      <c r="E15" s="40" t="s">
        <v>17</v>
      </c>
      <c r="F15" s="40" t="s">
        <v>21</v>
      </c>
      <c r="G15" s="40" t="s">
        <v>23</v>
      </c>
      <c r="H15" s="40" t="s">
        <v>16</v>
      </c>
      <c r="I15" s="40">
        <v>4</v>
      </c>
      <c r="J15" s="40" t="s">
        <v>35</v>
      </c>
      <c r="K15" s="40" t="s">
        <v>46</v>
      </c>
      <c r="L15" s="40">
        <v>11</v>
      </c>
      <c r="M15" s="40">
        <f t="shared" si="0"/>
        <v>0</v>
      </c>
      <c r="N15" s="40">
        <f t="shared" si="1"/>
        <v>1</v>
      </c>
    </row>
    <row r="16" spans="1:14" ht="16" x14ac:dyDescent="0.2">
      <c r="A16" s="40">
        <v>15</v>
      </c>
      <c r="B16" s="40" t="s">
        <v>15</v>
      </c>
      <c r="C16" s="40">
        <v>15</v>
      </c>
      <c r="D16" s="40" t="s">
        <v>16</v>
      </c>
      <c r="E16" s="40" t="s">
        <v>16</v>
      </c>
      <c r="F16" s="40" t="s">
        <v>21</v>
      </c>
      <c r="G16" s="40" t="s">
        <v>23</v>
      </c>
      <c r="H16" s="40" t="s">
        <v>16</v>
      </c>
      <c r="I16" s="40">
        <v>4</v>
      </c>
      <c r="J16" s="40" t="s">
        <v>33</v>
      </c>
      <c r="K16" s="40" t="s">
        <v>45</v>
      </c>
      <c r="L16" s="40">
        <v>11</v>
      </c>
      <c r="M16" s="40">
        <f t="shared" si="0"/>
        <v>0</v>
      </c>
      <c r="N16" s="40">
        <f t="shared" si="1"/>
        <v>0</v>
      </c>
    </row>
    <row r="17" spans="1:14" ht="16" x14ac:dyDescent="0.2">
      <c r="A17" s="40">
        <v>16</v>
      </c>
      <c r="B17" s="40" t="s">
        <v>12</v>
      </c>
      <c r="C17" s="40">
        <v>3</v>
      </c>
      <c r="D17" s="40" t="s">
        <v>16</v>
      </c>
      <c r="E17" s="40" t="s">
        <v>16</v>
      </c>
      <c r="F17" s="40" t="s">
        <v>21</v>
      </c>
      <c r="G17" s="40" t="s">
        <v>23</v>
      </c>
      <c r="H17" s="40" t="s">
        <v>17</v>
      </c>
      <c r="I17" s="40">
        <v>1</v>
      </c>
      <c r="J17" s="40" t="s">
        <v>30</v>
      </c>
      <c r="K17" s="40" t="s">
        <v>47</v>
      </c>
      <c r="L17" s="40">
        <v>13</v>
      </c>
      <c r="M17" s="40">
        <f t="shared" si="0"/>
        <v>0</v>
      </c>
      <c r="N17" s="40">
        <f t="shared" si="1"/>
        <v>0</v>
      </c>
    </row>
    <row r="18" spans="1:14" ht="16" x14ac:dyDescent="0.2">
      <c r="A18" s="40">
        <v>17</v>
      </c>
      <c r="B18" s="40" t="s">
        <v>13</v>
      </c>
      <c r="C18" s="40">
        <v>10.6</v>
      </c>
      <c r="D18" s="40" t="s">
        <v>16</v>
      </c>
      <c r="E18" s="40" t="s">
        <v>17</v>
      </c>
      <c r="F18" s="40" t="s">
        <v>18</v>
      </c>
      <c r="G18" s="40" t="s">
        <v>22</v>
      </c>
      <c r="H18" s="40" t="s">
        <v>16</v>
      </c>
      <c r="I18" s="40">
        <v>2</v>
      </c>
      <c r="J18" s="40" t="s">
        <v>30</v>
      </c>
      <c r="K18" s="40" t="s">
        <v>46</v>
      </c>
      <c r="L18" s="40">
        <v>11</v>
      </c>
      <c r="M18" s="40">
        <f t="shared" si="0"/>
        <v>0</v>
      </c>
      <c r="N18" s="40">
        <f t="shared" si="1"/>
        <v>1</v>
      </c>
    </row>
    <row r="19" spans="1:14" ht="16" x14ac:dyDescent="0.2">
      <c r="A19" s="40">
        <v>18</v>
      </c>
      <c r="B19" s="40" t="s">
        <v>13</v>
      </c>
      <c r="C19" s="40">
        <v>9</v>
      </c>
      <c r="D19" s="40" t="s">
        <v>17</v>
      </c>
      <c r="E19" s="40" t="s">
        <v>17</v>
      </c>
      <c r="F19" s="40" t="s">
        <v>21</v>
      </c>
      <c r="G19" s="40" t="s">
        <v>23</v>
      </c>
      <c r="H19" s="40" t="s">
        <v>16</v>
      </c>
      <c r="I19" s="40">
        <v>3</v>
      </c>
      <c r="J19" s="40" t="s">
        <v>36</v>
      </c>
      <c r="K19" s="40" t="s">
        <v>46</v>
      </c>
      <c r="L19" s="40">
        <v>13</v>
      </c>
      <c r="M19" s="40">
        <f t="shared" si="0"/>
        <v>1</v>
      </c>
      <c r="N19" s="40">
        <f t="shared" si="1"/>
        <v>1</v>
      </c>
    </row>
    <row r="20" spans="1:14" ht="16" x14ac:dyDescent="0.2">
      <c r="A20" s="40">
        <v>19</v>
      </c>
      <c r="B20" s="40" t="s">
        <v>14</v>
      </c>
      <c r="C20" s="40">
        <v>9.1</v>
      </c>
      <c r="D20" s="40" t="s">
        <v>17</v>
      </c>
      <c r="E20" s="40" t="s">
        <v>17</v>
      </c>
      <c r="F20" s="40" t="s">
        <v>18</v>
      </c>
      <c r="G20" s="40" t="s">
        <v>22</v>
      </c>
      <c r="H20" s="40" t="s">
        <v>16</v>
      </c>
      <c r="I20" s="40">
        <v>4</v>
      </c>
      <c r="J20" s="40" t="s">
        <v>35</v>
      </c>
      <c r="K20" s="40" t="s">
        <v>47</v>
      </c>
      <c r="L20" s="40">
        <v>11</v>
      </c>
      <c r="M20" s="40">
        <f t="shared" si="0"/>
        <v>1</v>
      </c>
      <c r="N20" s="40">
        <f t="shared" si="1"/>
        <v>1</v>
      </c>
    </row>
    <row r="21" spans="1:14" ht="16" x14ac:dyDescent="0.2">
      <c r="A21" s="40">
        <v>20</v>
      </c>
      <c r="B21" s="40" t="s">
        <v>12</v>
      </c>
      <c r="C21" s="40">
        <v>19.399999999999999</v>
      </c>
      <c r="D21" s="40" t="s">
        <v>17</v>
      </c>
      <c r="E21" s="40" t="s">
        <v>16</v>
      </c>
      <c r="F21" s="40" t="s">
        <v>19</v>
      </c>
      <c r="G21" s="40" t="s">
        <v>23</v>
      </c>
      <c r="H21" s="40" t="s">
        <v>16</v>
      </c>
      <c r="I21" s="40">
        <v>5</v>
      </c>
      <c r="J21" s="40" t="s">
        <v>35</v>
      </c>
      <c r="K21" s="40" t="s">
        <v>46</v>
      </c>
      <c r="L21" s="40">
        <v>11</v>
      </c>
      <c r="M21" s="40">
        <f t="shared" si="0"/>
        <v>1</v>
      </c>
      <c r="N21" s="40">
        <f t="shared" si="1"/>
        <v>0</v>
      </c>
    </row>
    <row r="22" spans="1:14" ht="16" x14ac:dyDescent="0.2">
      <c r="A22" s="40">
        <v>21</v>
      </c>
      <c r="B22" s="40" t="s">
        <v>13</v>
      </c>
      <c r="C22" s="40">
        <v>4.4000000000000004</v>
      </c>
      <c r="D22" s="40" t="s">
        <v>16</v>
      </c>
      <c r="E22" s="40" t="s">
        <v>17</v>
      </c>
      <c r="F22" s="40" t="s">
        <v>18</v>
      </c>
      <c r="G22" s="40" t="s">
        <v>23</v>
      </c>
      <c r="H22" s="40" t="s">
        <v>17</v>
      </c>
      <c r="I22" s="40">
        <v>5</v>
      </c>
      <c r="J22" s="40" t="s">
        <v>30</v>
      </c>
      <c r="K22" s="40" t="s">
        <v>45</v>
      </c>
      <c r="L22" s="40">
        <v>13</v>
      </c>
      <c r="M22" s="40">
        <f t="shared" si="0"/>
        <v>0</v>
      </c>
      <c r="N22" s="40">
        <f t="shared" si="1"/>
        <v>1</v>
      </c>
    </row>
    <row r="23" spans="1:14" ht="16" x14ac:dyDescent="0.2">
      <c r="A23" s="40">
        <v>22</v>
      </c>
      <c r="B23" s="40" t="s">
        <v>15</v>
      </c>
      <c r="C23" s="40">
        <v>9.4</v>
      </c>
      <c r="D23" s="40" t="s">
        <v>17</v>
      </c>
      <c r="E23" s="40" t="s">
        <v>17</v>
      </c>
      <c r="F23" s="40" t="s">
        <v>19</v>
      </c>
      <c r="G23" s="40" t="s">
        <v>23</v>
      </c>
      <c r="H23" s="40" t="s">
        <v>16</v>
      </c>
      <c r="I23" s="40">
        <v>4</v>
      </c>
      <c r="J23" s="40" t="s">
        <v>37</v>
      </c>
      <c r="K23" s="40" t="s">
        <v>46</v>
      </c>
      <c r="L23" s="40">
        <v>8</v>
      </c>
      <c r="M23" s="40">
        <f t="shared" si="0"/>
        <v>1</v>
      </c>
      <c r="N23" s="40">
        <f t="shared" si="1"/>
        <v>1</v>
      </c>
    </row>
    <row r="24" spans="1:14" ht="16" x14ac:dyDescent="0.2">
      <c r="A24" s="40">
        <v>23</v>
      </c>
      <c r="B24" s="40" t="s">
        <v>14</v>
      </c>
      <c r="C24" s="40">
        <v>11.1</v>
      </c>
      <c r="D24" s="40" t="s">
        <v>16</v>
      </c>
      <c r="E24" s="40" t="s">
        <v>17</v>
      </c>
      <c r="F24" s="40" t="s">
        <v>19</v>
      </c>
      <c r="G24" s="40" t="s">
        <v>23</v>
      </c>
      <c r="H24" s="40" t="s">
        <v>16</v>
      </c>
      <c r="I24" s="40">
        <v>4</v>
      </c>
      <c r="J24" s="40" t="s">
        <v>38</v>
      </c>
      <c r="K24" s="40" t="s">
        <v>47</v>
      </c>
      <c r="L24" s="40">
        <v>18</v>
      </c>
      <c r="M24" s="40">
        <f t="shared" si="0"/>
        <v>0</v>
      </c>
      <c r="N24" s="40">
        <f t="shared" si="1"/>
        <v>1</v>
      </c>
    </row>
    <row r="25" spans="1:14" ht="16" x14ac:dyDescent="0.2">
      <c r="A25" s="40">
        <v>24</v>
      </c>
      <c r="B25" s="40" t="s">
        <v>13</v>
      </c>
      <c r="C25" s="40">
        <v>5.5</v>
      </c>
      <c r="D25" s="40" t="s">
        <v>16</v>
      </c>
      <c r="E25" s="40" t="s">
        <v>17</v>
      </c>
      <c r="F25" s="40" t="s">
        <v>18</v>
      </c>
      <c r="G25" s="40" t="s">
        <v>23</v>
      </c>
      <c r="H25" s="40" t="s">
        <v>16</v>
      </c>
      <c r="I25" s="40">
        <v>3</v>
      </c>
      <c r="J25" s="40" t="s">
        <v>30</v>
      </c>
      <c r="K25" s="40" t="s">
        <v>45</v>
      </c>
      <c r="L25" s="40">
        <v>18</v>
      </c>
      <c r="M25" s="40">
        <f t="shared" si="0"/>
        <v>0</v>
      </c>
      <c r="N25" s="40">
        <f t="shared" si="1"/>
        <v>1</v>
      </c>
    </row>
    <row r="26" spans="1:14" ht="16" x14ac:dyDescent="0.2">
      <c r="A26" s="40">
        <v>25</v>
      </c>
      <c r="B26" s="40" t="s">
        <v>15</v>
      </c>
      <c r="C26" s="40">
        <v>11.3</v>
      </c>
      <c r="D26" s="40" t="s">
        <v>16</v>
      </c>
      <c r="E26" s="40" t="s">
        <v>17</v>
      </c>
      <c r="F26" s="40" t="s">
        <v>20</v>
      </c>
      <c r="G26" s="40" t="s">
        <v>22</v>
      </c>
      <c r="H26" s="40" t="s">
        <v>16</v>
      </c>
      <c r="I26" s="40">
        <v>3</v>
      </c>
      <c r="J26" s="40" t="s">
        <v>39</v>
      </c>
      <c r="K26" s="40" t="s">
        <v>45</v>
      </c>
      <c r="L26" s="40">
        <v>11</v>
      </c>
      <c r="M26" s="40">
        <f t="shared" si="0"/>
        <v>0</v>
      </c>
      <c r="N26" s="40">
        <f t="shared" si="1"/>
        <v>1</v>
      </c>
    </row>
    <row r="27" spans="1:14" ht="16" x14ac:dyDescent="0.2">
      <c r="A27" s="40">
        <v>26</v>
      </c>
      <c r="B27" s="40" t="s">
        <v>12</v>
      </c>
      <c r="C27" s="40">
        <v>17.8</v>
      </c>
      <c r="D27" s="40" t="s">
        <v>17</v>
      </c>
      <c r="E27" s="40" t="s">
        <v>17</v>
      </c>
      <c r="F27" s="40" t="s">
        <v>20</v>
      </c>
      <c r="G27" s="40" t="s">
        <v>22</v>
      </c>
      <c r="H27" s="40" t="s">
        <v>16</v>
      </c>
      <c r="I27" s="40">
        <v>2</v>
      </c>
      <c r="J27" s="40" t="s">
        <v>33</v>
      </c>
      <c r="K27" s="40" t="s">
        <v>46</v>
      </c>
      <c r="L27" s="40">
        <v>15</v>
      </c>
      <c r="M27" s="40">
        <f t="shared" si="0"/>
        <v>1</v>
      </c>
      <c r="N27" s="40">
        <f t="shared" si="1"/>
        <v>1</v>
      </c>
    </row>
    <row r="28" spans="1:14" ht="16" x14ac:dyDescent="0.2">
      <c r="A28" s="40">
        <v>27</v>
      </c>
      <c r="B28" s="40" t="s">
        <v>12</v>
      </c>
      <c r="C28" s="40">
        <v>15.6</v>
      </c>
      <c r="D28" s="40" t="s">
        <v>17</v>
      </c>
      <c r="E28" s="40" t="s">
        <v>17</v>
      </c>
      <c r="F28" s="40" t="s">
        <v>18</v>
      </c>
      <c r="G28" s="40" t="s">
        <v>23</v>
      </c>
      <c r="H28" s="40" t="s">
        <v>16</v>
      </c>
      <c r="I28" s="40">
        <v>3</v>
      </c>
      <c r="J28" s="40" t="s">
        <v>39</v>
      </c>
      <c r="K28" s="40" t="s">
        <v>46</v>
      </c>
      <c r="L28" s="40">
        <v>16</v>
      </c>
      <c r="M28" s="40">
        <f t="shared" si="0"/>
        <v>1</v>
      </c>
      <c r="N28" s="40">
        <f t="shared" si="1"/>
        <v>1</v>
      </c>
    </row>
    <row r="29" spans="1:14" ht="16" x14ac:dyDescent="0.2">
      <c r="A29" s="40">
        <v>28</v>
      </c>
      <c r="B29" s="40" t="s">
        <v>13</v>
      </c>
      <c r="C29" s="40">
        <v>13.5</v>
      </c>
      <c r="D29" s="40" t="s">
        <v>16</v>
      </c>
      <c r="E29" s="40" t="s">
        <v>17</v>
      </c>
      <c r="F29" s="40" t="s">
        <v>19</v>
      </c>
      <c r="G29" s="40" t="s">
        <v>22</v>
      </c>
      <c r="H29" s="40" t="s">
        <v>16</v>
      </c>
      <c r="I29" s="40">
        <v>4</v>
      </c>
      <c r="J29" s="40" t="s">
        <v>40</v>
      </c>
      <c r="K29" s="40" t="s">
        <v>47</v>
      </c>
      <c r="L29" s="40">
        <v>14</v>
      </c>
      <c r="M29" s="40">
        <f t="shared" si="0"/>
        <v>0</v>
      </c>
      <c r="N29" s="40">
        <f t="shared" si="1"/>
        <v>1</v>
      </c>
    </row>
    <row r="30" spans="1:14" ht="16" x14ac:dyDescent="0.2">
      <c r="A30" s="40">
        <v>29</v>
      </c>
      <c r="B30" s="40" t="s">
        <v>12</v>
      </c>
      <c r="C30" s="40">
        <v>3.9</v>
      </c>
      <c r="D30" s="40" t="s">
        <v>16</v>
      </c>
      <c r="E30" s="40" t="s">
        <v>16</v>
      </c>
      <c r="F30" s="40" t="s">
        <v>19</v>
      </c>
      <c r="G30" s="40" t="s">
        <v>23</v>
      </c>
      <c r="H30" s="40" t="s">
        <v>16</v>
      </c>
      <c r="I30" s="40">
        <v>4</v>
      </c>
      <c r="J30" s="40" t="s">
        <v>41</v>
      </c>
      <c r="K30" s="40" t="s">
        <v>46</v>
      </c>
      <c r="L30" s="40">
        <v>15</v>
      </c>
      <c r="M30" s="40">
        <f t="shared" si="0"/>
        <v>0</v>
      </c>
      <c r="N30" s="40">
        <f t="shared" si="1"/>
        <v>0</v>
      </c>
    </row>
    <row r="31" spans="1:14" ht="16" x14ac:dyDescent="0.2">
      <c r="A31" s="40">
        <v>30</v>
      </c>
      <c r="B31" s="40" t="s">
        <v>15</v>
      </c>
      <c r="C31" s="40">
        <v>3.7</v>
      </c>
      <c r="D31" s="40" t="s">
        <v>16</v>
      </c>
      <c r="E31" s="40" t="s">
        <v>17</v>
      </c>
      <c r="F31" s="40" t="s">
        <v>18</v>
      </c>
      <c r="G31" s="40" t="s">
        <v>23</v>
      </c>
      <c r="H31" s="40" t="s">
        <v>16</v>
      </c>
      <c r="I31" s="40">
        <v>4</v>
      </c>
      <c r="J31" s="40" t="s">
        <v>35</v>
      </c>
      <c r="K31" s="40" t="s">
        <v>46</v>
      </c>
      <c r="L31" s="40">
        <v>9</v>
      </c>
      <c r="M31" s="40">
        <f t="shared" si="0"/>
        <v>0</v>
      </c>
      <c r="N31" s="40">
        <f t="shared" si="1"/>
        <v>1</v>
      </c>
    </row>
    <row r="32" spans="1:14" ht="16" x14ac:dyDescent="0.2">
      <c r="A32" s="40">
        <v>31</v>
      </c>
      <c r="B32" s="40" t="s">
        <v>14</v>
      </c>
      <c r="C32" s="40">
        <v>14</v>
      </c>
      <c r="D32" s="40" t="s">
        <v>17</v>
      </c>
      <c r="E32" s="40" t="s">
        <v>17</v>
      </c>
      <c r="F32" s="40" t="s">
        <v>19</v>
      </c>
      <c r="G32" s="40" t="s">
        <v>23</v>
      </c>
      <c r="H32" s="40" t="s">
        <v>16</v>
      </c>
      <c r="I32" s="40">
        <v>4</v>
      </c>
      <c r="J32" s="40" t="s">
        <v>36</v>
      </c>
      <c r="K32" s="40" t="s">
        <v>45</v>
      </c>
      <c r="L32" s="40">
        <v>14</v>
      </c>
      <c r="M32" s="40">
        <f t="shared" si="0"/>
        <v>1</v>
      </c>
      <c r="N32" s="40">
        <f t="shared" si="1"/>
        <v>1</v>
      </c>
    </row>
    <row r="33" spans="1:14" ht="16" x14ac:dyDescent="0.2">
      <c r="A33" s="40">
        <v>32</v>
      </c>
      <c r="B33" s="40" t="s">
        <v>15</v>
      </c>
      <c r="C33" s="40">
        <v>5.8</v>
      </c>
      <c r="D33" s="40" t="s">
        <v>17</v>
      </c>
      <c r="E33" s="40" t="s">
        <v>17</v>
      </c>
      <c r="F33" s="40" t="s">
        <v>19</v>
      </c>
      <c r="G33" s="40" t="s">
        <v>23</v>
      </c>
      <c r="H33" s="40" t="s">
        <v>17</v>
      </c>
      <c r="I33" s="40">
        <v>5</v>
      </c>
      <c r="J33" s="40" t="s">
        <v>34</v>
      </c>
      <c r="K33" s="40" t="s">
        <v>46</v>
      </c>
      <c r="L33" s="40">
        <v>12</v>
      </c>
      <c r="M33" s="40">
        <f t="shared" si="0"/>
        <v>1</v>
      </c>
      <c r="N33" s="40">
        <f t="shared" si="1"/>
        <v>1</v>
      </c>
    </row>
    <row r="34" spans="1:14" ht="16" x14ac:dyDescent="0.2">
      <c r="A34" s="40">
        <v>33</v>
      </c>
      <c r="B34" s="40" t="s">
        <v>12</v>
      </c>
      <c r="C34" s="40">
        <v>2.5</v>
      </c>
      <c r="D34" s="40" t="s">
        <v>16</v>
      </c>
      <c r="E34" s="40" t="s">
        <v>17</v>
      </c>
      <c r="F34" s="40" t="s">
        <v>20</v>
      </c>
      <c r="G34" s="40" t="s">
        <v>22</v>
      </c>
      <c r="H34" s="40" t="s">
        <v>16</v>
      </c>
      <c r="I34" s="40">
        <v>4</v>
      </c>
      <c r="J34" s="40" t="s">
        <v>30</v>
      </c>
      <c r="K34" s="40" t="s">
        <v>46</v>
      </c>
      <c r="L34" s="40">
        <v>10</v>
      </c>
      <c r="M34" s="40">
        <f t="shared" si="0"/>
        <v>0</v>
      </c>
      <c r="N34" s="40">
        <f t="shared" si="1"/>
        <v>1</v>
      </c>
    </row>
    <row r="35" spans="1:14" ht="16" x14ac:dyDescent="0.2">
      <c r="A35" s="40">
        <v>34</v>
      </c>
      <c r="B35" s="40" t="s">
        <v>14</v>
      </c>
      <c r="C35" s="40">
        <v>17.100000000000001</v>
      </c>
      <c r="D35" s="40" t="s">
        <v>16</v>
      </c>
      <c r="E35" s="40" t="s">
        <v>17</v>
      </c>
      <c r="F35" s="40" t="s">
        <v>18</v>
      </c>
      <c r="G35" s="40" t="s">
        <v>23</v>
      </c>
      <c r="H35" s="40" t="s">
        <v>16</v>
      </c>
      <c r="I35" s="40">
        <v>3</v>
      </c>
      <c r="J35" s="40" t="s">
        <v>30</v>
      </c>
      <c r="K35" s="40" t="s">
        <v>45</v>
      </c>
      <c r="L35" s="40">
        <v>17</v>
      </c>
      <c r="M35" s="40">
        <f t="shared" si="0"/>
        <v>0</v>
      </c>
      <c r="N35" s="40">
        <f t="shared" si="1"/>
        <v>1</v>
      </c>
    </row>
    <row r="36" spans="1:14" ht="16" x14ac:dyDescent="0.2">
      <c r="A36" s="40">
        <v>35</v>
      </c>
      <c r="B36" s="40" t="s">
        <v>13</v>
      </c>
      <c r="C36" s="40">
        <v>15.9</v>
      </c>
      <c r="D36" s="40" t="s">
        <v>16</v>
      </c>
      <c r="E36" s="40" t="s">
        <v>17</v>
      </c>
      <c r="F36" s="40" t="s">
        <v>18</v>
      </c>
      <c r="G36" s="40" t="s">
        <v>23</v>
      </c>
      <c r="H36" s="40" t="s">
        <v>16</v>
      </c>
      <c r="I36" s="40">
        <v>1</v>
      </c>
      <c r="J36" s="40" t="s">
        <v>36</v>
      </c>
      <c r="K36" s="40" t="s">
        <v>45</v>
      </c>
      <c r="L36" s="40">
        <v>11</v>
      </c>
      <c r="M36" s="40">
        <f t="shared" si="0"/>
        <v>0</v>
      </c>
      <c r="N36" s="40">
        <f t="shared" si="1"/>
        <v>1</v>
      </c>
    </row>
    <row r="37" spans="1:14" ht="16" x14ac:dyDescent="0.2">
      <c r="A37" s="40">
        <v>36</v>
      </c>
      <c r="B37" s="40" t="s">
        <v>12</v>
      </c>
      <c r="C37" s="40">
        <v>13.5</v>
      </c>
      <c r="D37" s="40" t="s">
        <v>16</v>
      </c>
      <c r="E37" s="40" t="s">
        <v>16</v>
      </c>
      <c r="F37" s="40" t="s">
        <v>21</v>
      </c>
      <c r="G37" s="40" t="s">
        <v>23</v>
      </c>
      <c r="H37" s="40" t="s">
        <v>16</v>
      </c>
      <c r="I37" s="40">
        <v>2</v>
      </c>
      <c r="J37" s="40" t="s">
        <v>34</v>
      </c>
      <c r="K37" s="40" t="s">
        <v>45</v>
      </c>
      <c r="L37" s="40">
        <v>8</v>
      </c>
      <c r="M37" s="40">
        <f t="shared" si="0"/>
        <v>0</v>
      </c>
      <c r="N37" s="40">
        <f t="shared" si="1"/>
        <v>0</v>
      </c>
    </row>
    <row r="38" spans="1:14" ht="16" x14ac:dyDescent="0.2">
      <c r="A38" s="40">
        <v>37</v>
      </c>
      <c r="B38" s="40" t="s">
        <v>12</v>
      </c>
      <c r="C38" s="40">
        <v>18.8</v>
      </c>
      <c r="D38" s="40" t="s">
        <v>16</v>
      </c>
      <c r="E38" s="40" t="s">
        <v>17</v>
      </c>
      <c r="F38" s="40" t="s">
        <v>21</v>
      </c>
      <c r="G38" s="40" t="s">
        <v>23</v>
      </c>
      <c r="H38" s="40" t="s">
        <v>16</v>
      </c>
      <c r="I38" s="40">
        <v>5</v>
      </c>
      <c r="J38" s="40" t="s">
        <v>42</v>
      </c>
      <c r="K38" s="40" t="s">
        <v>47</v>
      </c>
      <c r="L38" s="40">
        <v>16</v>
      </c>
      <c r="M38" s="40">
        <f t="shared" si="0"/>
        <v>0</v>
      </c>
      <c r="N38" s="40">
        <f t="shared" si="1"/>
        <v>1</v>
      </c>
    </row>
    <row r="39" spans="1:14" ht="16" x14ac:dyDescent="0.2">
      <c r="A39" s="40">
        <v>38</v>
      </c>
      <c r="B39" s="40" t="s">
        <v>13</v>
      </c>
      <c r="C39" s="40">
        <v>15.9</v>
      </c>
      <c r="D39" s="40" t="s">
        <v>16</v>
      </c>
      <c r="E39" s="40" t="s">
        <v>17</v>
      </c>
      <c r="F39" s="40" t="s">
        <v>21</v>
      </c>
      <c r="G39" s="40" t="s">
        <v>22</v>
      </c>
      <c r="H39" s="40" t="s">
        <v>16</v>
      </c>
      <c r="I39" s="40">
        <v>4</v>
      </c>
      <c r="J39" s="40" t="s">
        <v>39</v>
      </c>
      <c r="K39" s="40" t="s">
        <v>47</v>
      </c>
      <c r="L39" s="40">
        <v>16</v>
      </c>
      <c r="M39" s="40">
        <f t="shared" si="0"/>
        <v>0</v>
      </c>
      <c r="N39" s="40">
        <f t="shared" si="1"/>
        <v>1</v>
      </c>
    </row>
    <row r="40" spans="1:14" ht="16" x14ac:dyDescent="0.2">
      <c r="A40" s="40">
        <v>39</v>
      </c>
      <c r="B40" s="40" t="s">
        <v>12</v>
      </c>
      <c r="C40" s="40">
        <v>18.600000000000001</v>
      </c>
      <c r="D40" s="40" t="s">
        <v>17</v>
      </c>
      <c r="E40" s="40" t="s">
        <v>16</v>
      </c>
      <c r="F40" s="40" t="s">
        <v>20</v>
      </c>
      <c r="G40" s="40" t="s">
        <v>23</v>
      </c>
      <c r="H40" s="40" t="s">
        <v>16</v>
      </c>
      <c r="I40" s="40">
        <v>5</v>
      </c>
      <c r="J40" s="40" t="s">
        <v>37</v>
      </c>
      <c r="K40" s="40" t="s">
        <v>46</v>
      </c>
      <c r="L40" s="40">
        <v>18</v>
      </c>
      <c r="M40" s="40">
        <f t="shared" si="0"/>
        <v>1</v>
      </c>
      <c r="N40" s="40">
        <f t="shared" si="1"/>
        <v>0</v>
      </c>
    </row>
    <row r="41" spans="1:14" ht="16" x14ac:dyDescent="0.2">
      <c r="A41" s="40">
        <v>40</v>
      </c>
      <c r="B41" s="40" t="s">
        <v>12</v>
      </c>
      <c r="C41" s="40">
        <v>13.1</v>
      </c>
      <c r="D41" s="40" t="s">
        <v>16</v>
      </c>
      <c r="E41" s="40" t="s">
        <v>17</v>
      </c>
      <c r="F41" s="40" t="s">
        <v>19</v>
      </c>
      <c r="G41" s="40" t="s">
        <v>23</v>
      </c>
      <c r="H41" s="40" t="s">
        <v>16</v>
      </c>
      <c r="I41" s="40">
        <v>4</v>
      </c>
      <c r="J41" s="40" t="s">
        <v>36</v>
      </c>
      <c r="K41" s="40" t="s">
        <v>46</v>
      </c>
      <c r="L41" s="40">
        <v>17</v>
      </c>
      <c r="M41" s="40">
        <f t="shared" si="0"/>
        <v>0</v>
      </c>
      <c r="N41" s="40">
        <f t="shared" si="1"/>
        <v>1</v>
      </c>
    </row>
    <row r="42" spans="1:14" ht="16" x14ac:dyDescent="0.2">
      <c r="A42" s="40">
        <v>41</v>
      </c>
      <c r="B42" s="40" t="s">
        <v>12</v>
      </c>
      <c r="C42" s="40">
        <v>5.8</v>
      </c>
      <c r="D42" s="40" t="s">
        <v>16</v>
      </c>
      <c r="E42" s="40" t="s">
        <v>17</v>
      </c>
      <c r="F42" s="40" t="s">
        <v>18</v>
      </c>
      <c r="G42" s="40" t="s">
        <v>22</v>
      </c>
      <c r="H42" s="40" t="s">
        <v>16</v>
      </c>
      <c r="I42" s="40">
        <v>5</v>
      </c>
      <c r="J42" s="40" t="s">
        <v>40</v>
      </c>
      <c r="K42" s="40" t="s">
        <v>46</v>
      </c>
      <c r="L42" s="40">
        <v>10</v>
      </c>
      <c r="M42" s="40">
        <f t="shared" si="0"/>
        <v>0</v>
      </c>
      <c r="N42" s="40">
        <f t="shared" si="1"/>
        <v>1</v>
      </c>
    </row>
    <row r="43" spans="1:14" ht="16" x14ac:dyDescent="0.2">
      <c r="A43" s="40">
        <v>42</v>
      </c>
      <c r="B43" s="40" t="s">
        <v>14</v>
      </c>
      <c r="C43" s="40">
        <v>5.7</v>
      </c>
      <c r="D43" s="40" t="s">
        <v>17</v>
      </c>
      <c r="E43" s="40" t="s">
        <v>17</v>
      </c>
      <c r="F43" s="40" t="s">
        <v>19</v>
      </c>
      <c r="G43" s="40" t="s">
        <v>22</v>
      </c>
      <c r="H43" s="40" t="s">
        <v>16</v>
      </c>
      <c r="I43" s="40">
        <v>1</v>
      </c>
      <c r="J43" s="40" t="s">
        <v>43</v>
      </c>
      <c r="K43" s="40" t="s">
        <v>45</v>
      </c>
      <c r="L43" s="40">
        <v>19</v>
      </c>
      <c r="M43" s="40">
        <f t="shared" si="0"/>
        <v>1</v>
      </c>
      <c r="N43" s="40">
        <f t="shared" si="1"/>
        <v>1</v>
      </c>
    </row>
    <row r="44" spans="1:14" ht="16" x14ac:dyDescent="0.2">
      <c r="A44" s="40">
        <v>43</v>
      </c>
      <c r="B44" s="40" t="s">
        <v>13</v>
      </c>
      <c r="C44" s="40">
        <v>17.7</v>
      </c>
      <c r="D44" s="40" t="s">
        <v>16</v>
      </c>
      <c r="E44" s="40" t="s">
        <v>17</v>
      </c>
      <c r="F44" s="40" t="s">
        <v>20</v>
      </c>
      <c r="G44" s="40" t="s">
        <v>22</v>
      </c>
      <c r="H44" s="40" t="s">
        <v>17</v>
      </c>
      <c r="I44" s="40">
        <v>3</v>
      </c>
      <c r="J44" s="40" t="s">
        <v>39</v>
      </c>
      <c r="K44" s="40" t="s">
        <v>45</v>
      </c>
      <c r="L44" s="40">
        <v>11</v>
      </c>
      <c r="M44" s="40">
        <f t="shared" si="0"/>
        <v>0</v>
      </c>
      <c r="N44" s="40">
        <f t="shared" si="1"/>
        <v>1</v>
      </c>
    </row>
    <row r="45" spans="1:14" ht="16" x14ac:dyDescent="0.2">
      <c r="A45" s="40">
        <v>44</v>
      </c>
      <c r="B45" s="40" t="s">
        <v>15</v>
      </c>
      <c r="C45" s="40">
        <v>12.5</v>
      </c>
      <c r="D45" s="40" t="s">
        <v>16</v>
      </c>
      <c r="E45" s="40" t="s">
        <v>16</v>
      </c>
      <c r="F45" s="40" t="s">
        <v>21</v>
      </c>
      <c r="G45" s="40" t="s">
        <v>23</v>
      </c>
      <c r="H45" s="40" t="s">
        <v>16</v>
      </c>
      <c r="I45" s="40">
        <v>4</v>
      </c>
      <c r="J45" s="40" t="s">
        <v>40</v>
      </c>
      <c r="K45" s="40" t="s">
        <v>45</v>
      </c>
      <c r="L45" s="40">
        <v>11</v>
      </c>
      <c r="M45" s="40">
        <f t="shared" si="0"/>
        <v>0</v>
      </c>
      <c r="N45" s="40">
        <f t="shared" si="1"/>
        <v>0</v>
      </c>
    </row>
    <row r="46" spans="1:14" ht="16" x14ac:dyDescent="0.2">
      <c r="A46" s="40">
        <v>45</v>
      </c>
      <c r="B46" s="40" t="s">
        <v>12</v>
      </c>
      <c r="C46" s="40">
        <v>4.9000000000000004</v>
      </c>
      <c r="D46" s="40" t="s">
        <v>16</v>
      </c>
      <c r="E46" s="40" t="s">
        <v>17</v>
      </c>
      <c r="F46" s="40" t="s">
        <v>21</v>
      </c>
      <c r="G46" s="40" t="s">
        <v>22</v>
      </c>
      <c r="H46" s="40" t="s">
        <v>16</v>
      </c>
      <c r="I46" s="40">
        <v>2</v>
      </c>
      <c r="J46" s="40" t="s">
        <v>39</v>
      </c>
      <c r="K46" s="40" t="s">
        <v>47</v>
      </c>
      <c r="L46" s="40">
        <v>13</v>
      </c>
      <c r="M46" s="40">
        <f t="shared" si="0"/>
        <v>0</v>
      </c>
      <c r="N46" s="40">
        <f t="shared" si="1"/>
        <v>1</v>
      </c>
    </row>
    <row r="47" spans="1:14" ht="16" x14ac:dyDescent="0.2">
      <c r="A47" s="40">
        <v>46</v>
      </c>
      <c r="B47" s="40" t="s">
        <v>14</v>
      </c>
      <c r="C47" s="40">
        <v>12.1</v>
      </c>
      <c r="D47" s="40" t="s">
        <v>17</v>
      </c>
      <c r="E47" s="40" t="s">
        <v>17</v>
      </c>
      <c r="F47" s="40" t="s">
        <v>20</v>
      </c>
      <c r="G47" s="40" t="s">
        <v>22</v>
      </c>
      <c r="H47" s="40" t="s">
        <v>17</v>
      </c>
      <c r="I47" s="40">
        <v>4</v>
      </c>
      <c r="J47" s="40" t="s">
        <v>32</v>
      </c>
      <c r="K47" s="40" t="s">
        <v>45</v>
      </c>
      <c r="L47" s="40">
        <v>11</v>
      </c>
      <c r="M47" s="40">
        <f t="shared" si="0"/>
        <v>1</v>
      </c>
      <c r="N47" s="40">
        <f t="shared" si="1"/>
        <v>1</v>
      </c>
    </row>
    <row r="48" spans="1:14" ht="16" x14ac:dyDescent="0.2">
      <c r="A48" s="40">
        <v>47</v>
      </c>
      <c r="B48" s="40" t="s">
        <v>12</v>
      </c>
      <c r="C48" s="40">
        <v>12.3</v>
      </c>
      <c r="D48" s="40" t="s">
        <v>17</v>
      </c>
      <c r="E48" s="40" t="s">
        <v>17</v>
      </c>
      <c r="F48" s="40" t="s">
        <v>20</v>
      </c>
      <c r="G48" s="40" t="s">
        <v>23</v>
      </c>
      <c r="H48" s="40" t="s">
        <v>17</v>
      </c>
      <c r="I48" s="40">
        <v>2</v>
      </c>
      <c r="J48" s="40" t="s">
        <v>27</v>
      </c>
      <c r="K48" s="40" t="s">
        <v>45</v>
      </c>
      <c r="L48" s="40">
        <v>13</v>
      </c>
      <c r="M48" s="40">
        <f t="shared" si="0"/>
        <v>1</v>
      </c>
      <c r="N48" s="40">
        <f t="shared" si="1"/>
        <v>1</v>
      </c>
    </row>
    <row r="49" spans="1:14" ht="16" x14ac:dyDescent="0.2">
      <c r="A49" s="40">
        <v>48</v>
      </c>
      <c r="B49" s="40" t="s">
        <v>13</v>
      </c>
      <c r="C49" s="40">
        <v>10.8</v>
      </c>
      <c r="D49" s="40" t="s">
        <v>16</v>
      </c>
      <c r="E49" s="40" t="s">
        <v>17</v>
      </c>
      <c r="F49" s="40" t="s">
        <v>21</v>
      </c>
      <c r="G49" s="40" t="s">
        <v>22</v>
      </c>
      <c r="H49" s="40" t="s">
        <v>16</v>
      </c>
      <c r="I49" s="40">
        <v>2</v>
      </c>
      <c r="J49" s="40" t="s">
        <v>43</v>
      </c>
      <c r="K49" s="40" t="s">
        <v>47</v>
      </c>
      <c r="L49" s="40">
        <v>15</v>
      </c>
      <c r="M49" s="40">
        <f t="shared" si="0"/>
        <v>0</v>
      </c>
      <c r="N49" s="40">
        <f t="shared" si="1"/>
        <v>1</v>
      </c>
    </row>
    <row r="50" spans="1:14" ht="16" x14ac:dyDescent="0.2">
      <c r="A50" s="40">
        <v>49</v>
      </c>
      <c r="B50" s="40" t="s">
        <v>14</v>
      </c>
      <c r="C50" s="40">
        <v>17</v>
      </c>
      <c r="D50" s="40" t="s">
        <v>16</v>
      </c>
      <c r="E50" s="40" t="s">
        <v>16</v>
      </c>
      <c r="F50" s="40" t="s">
        <v>20</v>
      </c>
      <c r="G50" s="40" t="s">
        <v>22</v>
      </c>
      <c r="H50" s="40" t="s">
        <v>16</v>
      </c>
      <c r="I50" s="40">
        <v>4</v>
      </c>
      <c r="J50" s="40" t="s">
        <v>42</v>
      </c>
      <c r="K50" s="40" t="s">
        <v>46</v>
      </c>
      <c r="L50" s="40">
        <v>19</v>
      </c>
      <c r="M50" s="40">
        <f t="shared" si="0"/>
        <v>0</v>
      </c>
      <c r="N50" s="40">
        <f t="shared" si="1"/>
        <v>0</v>
      </c>
    </row>
    <row r="51" spans="1:14" ht="16" x14ac:dyDescent="0.2">
      <c r="A51" s="40">
        <v>50</v>
      </c>
      <c r="B51" s="40" t="s">
        <v>14</v>
      </c>
      <c r="C51" s="40">
        <v>13.3</v>
      </c>
      <c r="D51" s="40" t="s">
        <v>16</v>
      </c>
      <c r="E51" s="40" t="s">
        <v>17</v>
      </c>
      <c r="F51" s="40" t="s">
        <v>18</v>
      </c>
      <c r="G51" s="40" t="s">
        <v>23</v>
      </c>
      <c r="H51" s="40" t="s">
        <v>16</v>
      </c>
      <c r="I51" s="40">
        <v>5</v>
      </c>
      <c r="J51" s="40" t="s">
        <v>36</v>
      </c>
      <c r="K51" s="40" t="s">
        <v>47</v>
      </c>
      <c r="L51" s="40">
        <v>9</v>
      </c>
      <c r="M51" s="40">
        <f t="shared" si="0"/>
        <v>0</v>
      </c>
      <c r="N51" s="40">
        <f t="shared" si="1"/>
        <v>1</v>
      </c>
    </row>
    <row r="52" spans="1:14" ht="16" x14ac:dyDescent="0.2">
      <c r="A52" s="40">
        <v>51</v>
      </c>
      <c r="B52" s="40" t="s">
        <v>13</v>
      </c>
      <c r="C52" s="40">
        <v>2.2999999999999998</v>
      </c>
      <c r="D52" s="40" t="s">
        <v>16</v>
      </c>
      <c r="E52" s="40" t="s">
        <v>17</v>
      </c>
      <c r="F52" s="40" t="s">
        <v>21</v>
      </c>
      <c r="G52" s="40" t="s">
        <v>22</v>
      </c>
      <c r="H52" s="40" t="s">
        <v>16</v>
      </c>
      <c r="I52" s="40">
        <v>4</v>
      </c>
      <c r="J52" s="40" t="s">
        <v>26</v>
      </c>
      <c r="K52" s="40" t="s">
        <v>46</v>
      </c>
      <c r="L52" s="40">
        <v>15</v>
      </c>
      <c r="M52" s="40">
        <f t="shared" si="0"/>
        <v>0</v>
      </c>
      <c r="N52" s="40">
        <f t="shared" si="1"/>
        <v>1</v>
      </c>
    </row>
    <row r="53" spans="1:14" ht="16" x14ac:dyDescent="0.2">
      <c r="A53" s="40">
        <v>52</v>
      </c>
      <c r="B53" s="40" t="s">
        <v>12</v>
      </c>
      <c r="C53" s="40">
        <v>8.1</v>
      </c>
      <c r="D53" s="40" t="s">
        <v>17</v>
      </c>
      <c r="E53" s="40" t="s">
        <v>17</v>
      </c>
      <c r="F53" s="40" t="s">
        <v>21</v>
      </c>
      <c r="G53" s="40" t="s">
        <v>24</v>
      </c>
      <c r="H53" s="40" t="s">
        <v>16</v>
      </c>
      <c r="I53" s="40">
        <v>5</v>
      </c>
      <c r="J53" s="40" t="s">
        <v>39</v>
      </c>
      <c r="K53" s="40" t="s">
        <v>45</v>
      </c>
      <c r="L53" s="40">
        <v>16</v>
      </c>
      <c r="M53" s="40">
        <f t="shared" si="0"/>
        <v>1</v>
      </c>
      <c r="N53" s="40">
        <f t="shared" si="1"/>
        <v>1</v>
      </c>
    </row>
    <row r="54" spans="1:14" ht="16" x14ac:dyDescent="0.2">
      <c r="A54" s="40">
        <v>53</v>
      </c>
      <c r="B54" s="40" t="s">
        <v>13</v>
      </c>
      <c r="C54" s="40">
        <v>18.7</v>
      </c>
      <c r="D54" s="40" t="s">
        <v>16</v>
      </c>
      <c r="E54" s="40" t="s">
        <v>16</v>
      </c>
      <c r="F54" s="40" t="s">
        <v>19</v>
      </c>
      <c r="G54" s="40" t="s">
        <v>23</v>
      </c>
      <c r="H54" s="40" t="s">
        <v>16</v>
      </c>
      <c r="I54" s="40">
        <v>4</v>
      </c>
      <c r="J54" s="40" t="s">
        <v>30</v>
      </c>
      <c r="K54" s="40" t="s">
        <v>46</v>
      </c>
      <c r="L54" s="40">
        <v>12</v>
      </c>
      <c r="M54" s="40">
        <f t="shared" si="0"/>
        <v>0</v>
      </c>
      <c r="N54" s="40">
        <f t="shared" si="1"/>
        <v>0</v>
      </c>
    </row>
    <row r="55" spans="1:14" ht="16" x14ac:dyDescent="0.2">
      <c r="A55" s="40">
        <v>54</v>
      </c>
      <c r="B55" s="40" t="s">
        <v>12</v>
      </c>
      <c r="C55" s="40">
        <v>6.1</v>
      </c>
      <c r="D55" s="40" t="s">
        <v>16</v>
      </c>
      <c r="E55" s="40" t="s">
        <v>16</v>
      </c>
      <c r="F55" s="40" t="s">
        <v>18</v>
      </c>
      <c r="G55" s="40" t="s">
        <v>22</v>
      </c>
      <c r="H55" s="40" t="s">
        <v>16</v>
      </c>
      <c r="I55" s="40">
        <v>5</v>
      </c>
      <c r="J55" s="40" t="s">
        <v>44</v>
      </c>
      <c r="K55" s="40" t="s">
        <v>45</v>
      </c>
      <c r="L55" s="40">
        <v>11</v>
      </c>
      <c r="M55" s="40">
        <f t="shared" si="0"/>
        <v>0</v>
      </c>
      <c r="N55" s="40">
        <f t="shared" si="1"/>
        <v>0</v>
      </c>
    </row>
    <row r="56" spans="1:14" ht="16" x14ac:dyDescent="0.2">
      <c r="A56" s="40">
        <v>55</v>
      </c>
      <c r="B56" s="40" t="s">
        <v>13</v>
      </c>
      <c r="C56" s="40">
        <v>9.6999999999999993</v>
      </c>
      <c r="D56" s="40" t="s">
        <v>16</v>
      </c>
      <c r="E56" s="40" t="s">
        <v>17</v>
      </c>
      <c r="F56" s="40" t="s">
        <v>18</v>
      </c>
      <c r="G56" s="40" t="s">
        <v>23</v>
      </c>
      <c r="H56" s="40" t="s">
        <v>16</v>
      </c>
      <c r="I56" s="40">
        <v>4</v>
      </c>
      <c r="J56" s="40" t="s">
        <v>25</v>
      </c>
      <c r="K56" s="40" t="s">
        <v>46</v>
      </c>
      <c r="L56" s="40">
        <v>15</v>
      </c>
      <c r="M56" s="40">
        <f t="shared" si="0"/>
        <v>0</v>
      </c>
      <c r="N56" s="40">
        <f t="shared" si="1"/>
        <v>1</v>
      </c>
    </row>
    <row r="57" spans="1:14" ht="16" x14ac:dyDescent="0.2">
      <c r="A57" s="40">
        <v>56</v>
      </c>
      <c r="B57" s="40" t="s">
        <v>13</v>
      </c>
      <c r="C57" s="40">
        <v>8.1</v>
      </c>
      <c r="D57" s="40" t="s">
        <v>16</v>
      </c>
      <c r="E57" s="40" t="s">
        <v>17</v>
      </c>
      <c r="F57" s="40" t="s">
        <v>18</v>
      </c>
      <c r="G57" s="40" t="s">
        <v>23</v>
      </c>
      <c r="H57" s="40" t="s">
        <v>16</v>
      </c>
      <c r="I57" s="40">
        <v>2</v>
      </c>
      <c r="J57" s="40" t="s">
        <v>30</v>
      </c>
      <c r="K57" s="40" t="s">
        <v>46</v>
      </c>
      <c r="L57" s="40">
        <v>18</v>
      </c>
      <c r="M57" s="40">
        <f t="shared" si="0"/>
        <v>0</v>
      </c>
      <c r="N57" s="40">
        <f t="shared" si="1"/>
        <v>1</v>
      </c>
    </row>
    <row r="58" spans="1:14" ht="16" x14ac:dyDescent="0.2">
      <c r="A58" s="40">
        <v>57</v>
      </c>
      <c r="B58" s="40" t="s">
        <v>14</v>
      </c>
      <c r="C58" s="40">
        <v>6.5</v>
      </c>
      <c r="D58" s="40" t="s">
        <v>17</v>
      </c>
      <c r="E58" s="40" t="s">
        <v>17</v>
      </c>
      <c r="F58" s="40" t="s">
        <v>21</v>
      </c>
      <c r="G58" s="40" t="s">
        <v>22</v>
      </c>
      <c r="H58" s="40" t="s">
        <v>16</v>
      </c>
      <c r="I58" s="40">
        <v>4</v>
      </c>
      <c r="J58" s="40" t="s">
        <v>31</v>
      </c>
      <c r="K58" s="40" t="s">
        <v>46</v>
      </c>
      <c r="L58" s="40">
        <v>16</v>
      </c>
      <c r="M58" s="40">
        <f t="shared" si="0"/>
        <v>1</v>
      </c>
      <c r="N58" s="40">
        <f t="shared" si="1"/>
        <v>1</v>
      </c>
    </row>
    <row r="59" spans="1:14" ht="16" x14ac:dyDescent="0.2">
      <c r="A59" s="40">
        <v>58</v>
      </c>
      <c r="B59" s="40" t="s">
        <v>13</v>
      </c>
      <c r="C59" s="40">
        <v>9.6</v>
      </c>
      <c r="D59" s="40" t="s">
        <v>16</v>
      </c>
      <c r="E59" s="40" t="s">
        <v>17</v>
      </c>
      <c r="F59" s="40" t="s">
        <v>19</v>
      </c>
      <c r="G59" s="40" t="s">
        <v>22</v>
      </c>
      <c r="H59" s="40" t="s">
        <v>16</v>
      </c>
      <c r="I59" s="40">
        <v>4</v>
      </c>
      <c r="J59" s="40" t="s">
        <v>28</v>
      </c>
      <c r="K59" s="40" t="s">
        <v>45</v>
      </c>
      <c r="L59" s="40">
        <v>18</v>
      </c>
      <c r="M59" s="40">
        <f t="shared" si="0"/>
        <v>0</v>
      </c>
      <c r="N59" s="40">
        <f t="shared" si="1"/>
        <v>1</v>
      </c>
    </row>
    <row r="60" spans="1:14" ht="16" x14ac:dyDescent="0.2">
      <c r="A60" s="40">
        <v>59</v>
      </c>
      <c r="B60" s="40" t="s">
        <v>14</v>
      </c>
      <c r="C60" s="40">
        <v>10.3</v>
      </c>
      <c r="D60" s="40" t="s">
        <v>17</v>
      </c>
      <c r="E60" s="40" t="s">
        <v>16</v>
      </c>
      <c r="F60" s="40" t="s">
        <v>20</v>
      </c>
      <c r="G60" s="40" t="s">
        <v>22</v>
      </c>
      <c r="H60" s="40" t="s">
        <v>17</v>
      </c>
      <c r="I60" s="40">
        <v>5</v>
      </c>
      <c r="J60" s="40" t="s">
        <v>26</v>
      </c>
      <c r="K60" s="40" t="s">
        <v>45</v>
      </c>
      <c r="L60" s="40">
        <v>9</v>
      </c>
      <c r="M60" s="40">
        <f t="shared" si="0"/>
        <v>1</v>
      </c>
      <c r="N60" s="40">
        <f t="shared" si="1"/>
        <v>0</v>
      </c>
    </row>
    <row r="61" spans="1:14" ht="16" x14ac:dyDescent="0.2">
      <c r="A61" s="40">
        <v>60</v>
      </c>
      <c r="B61" s="40" t="s">
        <v>15</v>
      </c>
      <c r="C61" s="40">
        <v>16.8</v>
      </c>
      <c r="D61" s="40" t="s">
        <v>16</v>
      </c>
      <c r="E61" s="40" t="s">
        <v>16</v>
      </c>
      <c r="F61" s="40" t="s">
        <v>19</v>
      </c>
      <c r="G61" s="40" t="s">
        <v>23</v>
      </c>
      <c r="H61" s="40" t="s">
        <v>16</v>
      </c>
      <c r="I61" s="40">
        <v>3</v>
      </c>
      <c r="J61" s="40" t="s">
        <v>27</v>
      </c>
      <c r="K61" s="40" t="s">
        <v>47</v>
      </c>
      <c r="L61" s="40">
        <v>15</v>
      </c>
      <c r="M61" s="40">
        <f t="shared" si="0"/>
        <v>0</v>
      </c>
      <c r="N61" s="40">
        <f t="shared" si="1"/>
        <v>0</v>
      </c>
    </row>
    <row r="62" spans="1:14" ht="16" x14ac:dyDescent="0.2">
      <c r="A62" s="40">
        <v>61</v>
      </c>
      <c r="B62" s="40" t="s">
        <v>12</v>
      </c>
      <c r="C62" s="40">
        <v>6.3</v>
      </c>
      <c r="D62" s="40" t="s">
        <v>16</v>
      </c>
      <c r="E62" s="40" t="s">
        <v>16</v>
      </c>
      <c r="F62" s="40" t="s">
        <v>20</v>
      </c>
      <c r="G62" s="40" t="s">
        <v>22</v>
      </c>
      <c r="H62" s="40" t="s">
        <v>16</v>
      </c>
      <c r="I62" s="40">
        <v>5</v>
      </c>
      <c r="J62" s="40" t="s">
        <v>27</v>
      </c>
      <c r="K62" s="40" t="s">
        <v>45</v>
      </c>
      <c r="L62" s="40">
        <v>15</v>
      </c>
      <c r="M62" s="40">
        <f t="shared" si="0"/>
        <v>0</v>
      </c>
      <c r="N62" s="40">
        <f t="shared" si="1"/>
        <v>0</v>
      </c>
    </row>
    <row r="63" spans="1:14" ht="16" x14ac:dyDescent="0.2">
      <c r="A63" s="40">
        <v>62</v>
      </c>
      <c r="B63" s="40" t="s">
        <v>14</v>
      </c>
      <c r="C63" s="40">
        <v>12</v>
      </c>
      <c r="D63" s="40" t="s">
        <v>16</v>
      </c>
      <c r="E63" s="40" t="s">
        <v>17</v>
      </c>
      <c r="F63" s="40" t="s">
        <v>21</v>
      </c>
      <c r="G63" s="40" t="s">
        <v>23</v>
      </c>
      <c r="H63" s="40" t="s">
        <v>16</v>
      </c>
      <c r="I63" s="40">
        <v>5</v>
      </c>
      <c r="J63" s="40" t="s">
        <v>30</v>
      </c>
      <c r="K63" s="40" t="s">
        <v>47</v>
      </c>
      <c r="L63" s="40">
        <v>13</v>
      </c>
      <c r="M63" s="40">
        <f t="shared" si="0"/>
        <v>0</v>
      </c>
      <c r="N63" s="40">
        <f t="shared" si="1"/>
        <v>1</v>
      </c>
    </row>
    <row r="64" spans="1:14" ht="16" x14ac:dyDescent="0.2">
      <c r="A64" s="40">
        <v>63</v>
      </c>
      <c r="B64" s="40" t="s">
        <v>12</v>
      </c>
      <c r="C64" s="40">
        <v>10.6</v>
      </c>
      <c r="D64" s="40" t="s">
        <v>16</v>
      </c>
      <c r="E64" s="40" t="s">
        <v>17</v>
      </c>
      <c r="F64" s="40" t="s">
        <v>18</v>
      </c>
      <c r="G64" s="40" t="s">
        <v>23</v>
      </c>
      <c r="H64" s="40" t="s">
        <v>16</v>
      </c>
      <c r="I64" s="40">
        <v>3</v>
      </c>
      <c r="J64" s="40" t="s">
        <v>31</v>
      </c>
      <c r="K64" s="40" t="s">
        <v>46</v>
      </c>
      <c r="L64" s="40">
        <v>17</v>
      </c>
      <c r="M64" s="40">
        <f t="shared" si="0"/>
        <v>0</v>
      </c>
      <c r="N64" s="40">
        <f t="shared" si="1"/>
        <v>1</v>
      </c>
    </row>
    <row r="65" spans="1:14" ht="16" x14ac:dyDescent="0.2">
      <c r="A65" s="40">
        <v>64</v>
      </c>
      <c r="B65" s="40" t="s">
        <v>14</v>
      </c>
      <c r="C65" s="40">
        <v>19</v>
      </c>
      <c r="D65" s="40" t="s">
        <v>16</v>
      </c>
      <c r="E65" s="40" t="s">
        <v>17</v>
      </c>
      <c r="F65" s="40" t="s">
        <v>20</v>
      </c>
      <c r="G65" s="40" t="s">
        <v>24</v>
      </c>
      <c r="H65" s="40" t="s">
        <v>16</v>
      </c>
      <c r="I65" s="40">
        <v>4</v>
      </c>
      <c r="J65" s="40" t="s">
        <v>40</v>
      </c>
      <c r="K65" s="40" t="s">
        <v>45</v>
      </c>
      <c r="L65" s="40">
        <v>19</v>
      </c>
      <c r="M65" s="40">
        <f t="shared" si="0"/>
        <v>0</v>
      </c>
      <c r="N65" s="40">
        <f t="shared" si="1"/>
        <v>1</v>
      </c>
    </row>
    <row r="66" spans="1:14" ht="16" x14ac:dyDescent="0.2">
      <c r="A66" s="40">
        <v>65</v>
      </c>
      <c r="B66" s="40" t="s">
        <v>15</v>
      </c>
      <c r="C66" s="40">
        <v>8.9</v>
      </c>
      <c r="D66" s="40" t="s">
        <v>16</v>
      </c>
      <c r="E66" s="40" t="s">
        <v>17</v>
      </c>
      <c r="F66" s="40" t="s">
        <v>19</v>
      </c>
      <c r="G66" s="40" t="s">
        <v>22</v>
      </c>
      <c r="H66" s="40" t="s">
        <v>16</v>
      </c>
      <c r="I66" s="40">
        <v>2</v>
      </c>
      <c r="J66" s="40" t="s">
        <v>33</v>
      </c>
      <c r="K66" s="40" t="s">
        <v>45</v>
      </c>
      <c r="L66" s="40">
        <v>15</v>
      </c>
      <c r="M66" s="40">
        <f t="shared" ref="M66:M129" si="2">IF(D66="Yes",1,0)</f>
        <v>0</v>
      </c>
      <c r="N66" s="40">
        <f t="shared" ref="N66:N129" si="3">IF(E66="Yes",1,0)</f>
        <v>1</v>
      </c>
    </row>
    <row r="67" spans="1:14" ht="16" x14ac:dyDescent="0.2">
      <c r="A67" s="40">
        <v>66</v>
      </c>
      <c r="B67" s="40" t="s">
        <v>14</v>
      </c>
      <c r="C67" s="40">
        <v>5.3</v>
      </c>
      <c r="D67" s="40" t="s">
        <v>16</v>
      </c>
      <c r="E67" s="40" t="s">
        <v>16</v>
      </c>
      <c r="F67" s="40" t="s">
        <v>20</v>
      </c>
      <c r="G67" s="40" t="s">
        <v>23</v>
      </c>
      <c r="H67" s="40" t="s">
        <v>17</v>
      </c>
      <c r="I67" s="40">
        <v>4</v>
      </c>
      <c r="J67" s="40" t="s">
        <v>36</v>
      </c>
      <c r="K67" s="40" t="s">
        <v>46</v>
      </c>
      <c r="L67" s="40">
        <v>9</v>
      </c>
      <c r="M67" s="40">
        <f t="shared" si="2"/>
        <v>0</v>
      </c>
      <c r="N67" s="40">
        <f t="shared" si="3"/>
        <v>0</v>
      </c>
    </row>
    <row r="68" spans="1:14" ht="16" x14ac:dyDescent="0.2">
      <c r="A68" s="40">
        <v>67</v>
      </c>
      <c r="B68" s="40" t="s">
        <v>12</v>
      </c>
      <c r="C68" s="40">
        <v>8.3000000000000007</v>
      </c>
      <c r="D68" s="40" t="s">
        <v>16</v>
      </c>
      <c r="E68" s="40" t="s">
        <v>17</v>
      </c>
      <c r="F68" s="40" t="s">
        <v>21</v>
      </c>
      <c r="G68" s="40" t="s">
        <v>22</v>
      </c>
      <c r="H68" s="40" t="s">
        <v>16</v>
      </c>
      <c r="I68" s="40">
        <v>3</v>
      </c>
      <c r="J68" s="40" t="s">
        <v>32</v>
      </c>
      <c r="K68" s="40" t="s">
        <v>47</v>
      </c>
      <c r="L68" s="40">
        <v>12</v>
      </c>
      <c r="M68" s="40">
        <f t="shared" si="2"/>
        <v>0</v>
      </c>
      <c r="N68" s="40">
        <f t="shared" si="3"/>
        <v>1</v>
      </c>
    </row>
    <row r="69" spans="1:14" ht="16" x14ac:dyDescent="0.2">
      <c r="A69" s="40">
        <v>68</v>
      </c>
      <c r="B69" s="40" t="s">
        <v>14</v>
      </c>
      <c r="C69" s="40">
        <v>3.6</v>
      </c>
      <c r="D69" s="40" t="s">
        <v>16</v>
      </c>
      <c r="E69" s="40" t="s">
        <v>17</v>
      </c>
      <c r="F69" s="40" t="s">
        <v>18</v>
      </c>
      <c r="G69" s="40" t="s">
        <v>24</v>
      </c>
      <c r="H69" s="40" t="s">
        <v>16</v>
      </c>
      <c r="I69" s="40">
        <v>4</v>
      </c>
      <c r="J69" s="40" t="s">
        <v>33</v>
      </c>
      <c r="K69" s="40" t="s">
        <v>47</v>
      </c>
      <c r="L69" s="40">
        <v>16</v>
      </c>
      <c r="M69" s="40">
        <f t="shared" si="2"/>
        <v>0</v>
      </c>
      <c r="N69" s="40">
        <f t="shared" si="3"/>
        <v>1</v>
      </c>
    </row>
    <row r="70" spans="1:14" ht="16" x14ac:dyDescent="0.2">
      <c r="A70" s="40">
        <v>69</v>
      </c>
      <c r="B70" s="40" t="s">
        <v>13</v>
      </c>
      <c r="C70" s="40">
        <v>19.600000000000001</v>
      </c>
      <c r="D70" s="40" t="s">
        <v>16</v>
      </c>
      <c r="E70" s="40" t="s">
        <v>17</v>
      </c>
      <c r="F70" s="40" t="s">
        <v>19</v>
      </c>
      <c r="G70" s="40" t="s">
        <v>22</v>
      </c>
      <c r="H70" s="40" t="s">
        <v>17</v>
      </c>
      <c r="I70" s="40">
        <v>3</v>
      </c>
      <c r="J70" s="40" t="s">
        <v>27</v>
      </c>
      <c r="K70" s="40" t="s">
        <v>47</v>
      </c>
      <c r="L70" s="40">
        <v>16</v>
      </c>
      <c r="M70" s="40">
        <f t="shared" si="2"/>
        <v>0</v>
      </c>
      <c r="N70" s="40">
        <f t="shared" si="3"/>
        <v>1</v>
      </c>
    </row>
    <row r="71" spans="1:14" ht="16" x14ac:dyDescent="0.2">
      <c r="A71" s="40">
        <v>70</v>
      </c>
      <c r="B71" s="40" t="s">
        <v>12</v>
      </c>
      <c r="C71" s="40">
        <v>13</v>
      </c>
      <c r="D71" s="40" t="s">
        <v>16</v>
      </c>
      <c r="E71" s="40" t="s">
        <v>17</v>
      </c>
      <c r="F71" s="40" t="s">
        <v>18</v>
      </c>
      <c r="G71" s="40" t="s">
        <v>23</v>
      </c>
      <c r="H71" s="40" t="s">
        <v>16</v>
      </c>
      <c r="I71" s="40">
        <v>3</v>
      </c>
      <c r="J71" s="40" t="s">
        <v>36</v>
      </c>
      <c r="K71" s="40" t="s">
        <v>47</v>
      </c>
      <c r="L71" s="40">
        <v>10</v>
      </c>
      <c r="M71" s="40">
        <f t="shared" si="2"/>
        <v>0</v>
      </c>
      <c r="N71" s="40">
        <f t="shared" si="3"/>
        <v>1</v>
      </c>
    </row>
    <row r="72" spans="1:14" ht="16" x14ac:dyDescent="0.2">
      <c r="A72" s="40">
        <v>71</v>
      </c>
      <c r="B72" s="40" t="s">
        <v>14</v>
      </c>
      <c r="C72" s="40">
        <v>2.1</v>
      </c>
      <c r="D72" s="40" t="s">
        <v>16</v>
      </c>
      <c r="E72" s="40" t="s">
        <v>17</v>
      </c>
      <c r="F72" s="40" t="s">
        <v>18</v>
      </c>
      <c r="G72" s="40" t="s">
        <v>22</v>
      </c>
      <c r="H72" s="40" t="s">
        <v>16</v>
      </c>
      <c r="I72" s="40">
        <v>3</v>
      </c>
      <c r="J72" s="40" t="s">
        <v>40</v>
      </c>
      <c r="K72" s="40" t="s">
        <v>47</v>
      </c>
      <c r="L72" s="40">
        <v>8</v>
      </c>
      <c r="M72" s="40">
        <f t="shared" si="2"/>
        <v>0</v>
      </c>
      <c r="N72" s="40">
        <f t="shared" si="3"/>
        <v>1</v>
      </c>
    </row>
    <row r="73" spans="1:14" ht="16" x14ac:dyDescent="0.2">
      <c r="A73" s="40">
        <v>72</v>
      </c>
      <c r="B73" s="40" t="s">
        <v>12</v>
      </c>
      <c r="C73" s="40">
        <v>2.2000000000000002</v>
      </c>
      <c r="D73" s="40" t="s">
        <v>16</v>
      </c>
      <c r="E73" s="40" t="s">
        <v>16</v>
      </c>
      <c r="F73" s="40" t="s">
        <v>21</v>
      </c>
      <c r="G73" s="40" t="s">
        <v>23</v>
      </c>
      <c r="H73" s="40" t="s">
        <v>16</v>
      </c>
      <c r="I73" s="40">
        <v>1</v>
      </c>
      <c r="J73" s="40" t="s">
        <v>27</v>
      </c>
      <c r="K73" s="40" t="s">
        <v>46</v>
      </c>
      <c r="L73" s="40">
        <v>9</v>
      </c>
      <c r="M73" s="40">
        <f t="shared" si="2"/>
        <v>0</v>
      </c>
      <c r="N73" s="40">
        <f t="shared" si="3"/>
        <v>0</v>
      </c>
    </row>
    <row r="74" spans="1:14" ht="16" x14ac:dyDescent="0.2">
      <c r="A74" s="40">
        <v>73</v>
      </c>
      <c r="B74" s="40" t="s">
        <v>12</v>
      </c>
      <c r="C74" s="40">
        <v>16.8</v>
      </c>
      <c r="D74" s="40" t="s">
        <v>16</v>
      </c>
      <c r="E74" s="40" t="s">
        <v>17</v>
      </c>
      <c r="F74" s="40" t="s">
        <v>19</v>
      </c>
      <c r="G74" s="40" t="s">
        <v>23</v>
      </c>
      <c r="H74" s="40" t="s">
        <v>16</v>
      </c>
      <c r="I74" s="40">
        <v>3</v>
      </c>
      <c r="J74" s="40" t="s">
        <v>28</v>
      </c>
      <c r="K74" s="40" t="s">
        <v>46</v>
      </c>
      <c r="L74" s="40">
        <v>14</v>
      </c>
      <c r="M74" s="40">
        <f t="shared" si="2"/>
        <v>0</v>
      </c>
      <c r="N74" s="40">
        <f t="shared" si="3"/>
        <v>1</v>
      </c>
    </row>
    <row r="75" spans="1:14" ht="16" x14ac:dyDescent="0.2">
      <c r="A75" s="40">
        <v>74</v>
      </c>
      <c r="B75" s="40" t="s">
        <v>12</v>
      </c>
      <c r="C75" s="40">
        <v>16.100000000000001</v>
      </c>
      <c r="D75" s="40" t="s">
        <v>16</v>
      </c>
      <c r="E75" s="40" t="s">
        <v>16</v>
      </c>
      <c r="F75" s="40" t="s">
        <v>19</v>
      </c>
      <c r="G75" s="40" t="s">
        <v>23</v>
      </c>
      <c r="H75" s="40" t="s">
        <v>16</v>
      </c>
      <c r="I75" s="40">
        <v>5</v>
      </c>
      <c r="J75" s="40" t="s">
        <v>35</v>
      </c>
      <c r="K75" s="40" t="s">
        <v>45</v>
      </c>
      <c r="L75" s="40">
        <v>12</v>
      </c>
      <c r="M75" s="40">
        <f t="shared" si="2"/>
        <v>0</v>
      </c>
      <c r="N75" s="40">
        <f t="shared" si="3"/>
        <v>0</v>
      </c>
    </row>
    <row r="76" spans="1:14" ht="16" x14ac:dyDescent="0.2">
      <c r="A76" s="40">
        <v>75</v>
      </c>
      <c r="B76" s="40" t="s">
        <v>13</v>
      </c>
      <c r="C76" s="40">
        <v>3.1</v>
      </c>
      <c r="D76" s="40" t="s">
        <v>16</v>
      </c>
      <c r="E76" s="40" t="s">
        <v>17</v>
      </c>
      <c r="F76" s="40" t="s">
        <v>19</v>
      </c>
      <c r="G76" s="40" t="s">
        <v>23</v>
      </c>
      <c r="H76" s="40" t="s">
        <v>17</v>
      </c>
      <c r="I76" s="40">
        <v>4</v>
      </c>
      <c r="J76" s="40" t="s">
        <v>44</v>
      </c>
      <c r="K76" s="40" t="s">
        <v>46</v>
      </c>
      <c r="L76" s="40">
        <v>15</v>
      </c>
      <c r="M76" s="40">
        <f t="shared" si="2"/>
        <v>0</v>
      </c>
      <c r="N76" s="40">
        <f t="shared" si="3"/>
        <v>1</v>
      </c>
    </row>
    <row r="77" spans="1:14" ht="16" x14ac:dyDescent="0.2">
      <c r="A77" s="40">
        <v>76</v>
      </c>
      <c r="B77" s="40" t="s">
        <v>15</v>
      </c>
      <c r="C77" s="40">
        <v>17.5</v>
      </c>
      <c r="D77" s="40" t="s">
        <v>16</v>
      </c>
      <c r="E77" s="40" t="s">
        <v>16</v>
      </c>
      <c r="F77" s="40" t="s">
        <v>19</v>
      </c>
      <c r="G77" s="40" t="s">
        <v>23</v>
      </c>
      <c r="H77" s="40" t="s">
        <v>16</v>
      </c>
      <c r="I77" s="40">
        <v>5</v>
      </c>
      <c r="J77" s="40" t="s">
        <v>31</v>
      </c>
      <c r="K77" s="40" t="s">
        <v>46</v>
      </c>
      <c r="L77" s="40">
        <v>11</v>
      </c>
      <c r="M77" s="40">
        <f t="shared" si="2"/>
        <v>0</v>
      </c>
      <c r="N77" s="40">
        <f t="shared" si="3"/>
        <v>0</v>
      </c>
    </row>
    <row r="78" spans="1:14" ht="16" x14ac:dyDescent="0.2">
      <c r="A78" s="40">
        <v>77</v>
      </c>
      <c r="B78" s="40" t="s">
        <v>15</v>
      </c>
      <c r="C78" s="40">
        <v>10.6</v>
      </c>
      <c r="D78" s="40" t="s">
        <v>16</v>
      </c>
      <c r="E78" s="40" t="s">
        <v>17</v>
      </c>
      <c r="F78" s="40" t="s">
        <v>21</v>
      </c>
      <c r="G78" s="40" t="s">
        <v>22</v>
      </c>
      <c r="H78" s="40" t="s">
        <v>16</v>
      </c>
      <c r="I78" s="40">
        <v>3</v>
      </c>
      <c r="J78" s="40" t="s">
        <v>29</v>
      </c>
      <c r="K78" s="40" t="s">
        <v>45</v>
      </c>
      <c r="L78" s="40">
        <v>15</v>
      </c>
      <c r="M78" s="40">
        <f t="shared" si="2"/>
        <v>0</v>
      </c>
      <c r="N78" s="40">
        <f t="shared" si="3"/>
        <v>1</v>
      </c>
    </row>
    <row r="79" spans="1:14" ht="16" x14ac:dyDescent="0.2">
      <c r="A79" s="40">
        <v>78</v>
      </c>
      <c r="B79" s="40" t="s">
        <v>13</v>
      </c>
      <c r="C79" s="40">
        <v>2.2000000000000002</v>
      </c>
      <c r="D79" s="40" t="s">
        <v>16</v>
      </c>
      <c r="E79" s="40" t="s">
        <v>17</v>
      </c>
      <c r="F79" s="40" t="s">
        <v>19</v>
      </c>
      <c r="G79" s="40" t="s">
        <v>22</v>
      </c>
      <c r="H79" s="40" t="s">
        <v>16</v>
      </c>
      <c r="I79" s="40">
        <v>3</v>
      </c>
      <c r="J79" s="40" t="s">
        <v>26</v>
      </c>
      <c r="K79" s="40" t="s">
        <v>45</v>
      </c>
      <c r="L79" s="40">
        <v>9</v>
      </c>
      <c r="M79" s="40">
        <f t="shared" si="2"/>
        <v>0</v>
      </c>
      <c r="N79" s="40">
        <f t="shared" si="3"/>
        <v>1</v>
      </c>
    </row>
    <row r="80" spans="1:14" ht="16" x14ac:dyDescent="0.2">
      <c r="A80" s="40">
        <v>79</v>
      </c>
      <c r="B80" s="40" t="s">
        <v>15</v>
      </c>
      <c r="C80" s="40">
        <v>17.2</v>
      </c>
      <c r="D80" s="40" t="s">
        <v>16</v>
      </c>
      <c r="E80" s="40" t="s">
        <v>17</v>
      </c>
      <c r="F80" s="40" t="s">
        <v>19</v>
      </c>
      <c r="G80" s="40" t="s">
        <v>23</v>
      </c>
      <c r="H80" s="40" t="s">
        <v>17</v>
      </c>
      <c r="I80" s="40">
        <v>4</v>
      </c>
      <c r="J80" s="40" t="s">
        <v>36</v>
      </c>
      <c r="K80" s="40" t="s">
        <v>47</v>
      </c>
      <c r="L80" s="40">
        <v>11</v>
      </c>
      <c r="M80" s="40">
        <f t="shared" si="2"/>
        <v>0</v>
      </c>
      <c r="N80" s="40">
        <f t="shared" si="3"/>
        <v>1</v>
      </c>
    </row>
    <row r="81" spans="1:14" ht="16" x14ac:dyDescent="0.2">
      <c r="A81" s="40">
        <v>80</v>
      </c>
      <c r="B81" s="40" t="s">
        <v>15</v>
      </c>
      <c r="C81" s="40">
        <v>18.600000000000001</v>
      </c>
      <c r="D81" s="40" t="s">
        <v>17</v>
      </c>
      <c r="E81" s="40" t="s">
        <v>17</v>
      </c>
      <c r="F81" s="40" t="s">
        <v>21</v>
      </c>
      <c r="G81" s="40" t="s">
        <v>23</v>
      </c>
      <c r="H81" s="40" t="s">
        <v>17</v>
      </c>
      <c r="I81" s="40">
        <v>4</v>
      </c>
      <c r="J81" s="40" t="s">
        <v>28</v>
      </c>
      <c r="K81" s="40" t="s">
        <v>45</v>
      </c>
      <c r="L81" s="40">
        <v>12</v>
      </c>
      <c r="M81" s="40">
        <f t="shared" si="2"/>
        <v>1</v>
      </c>
      <c r="N81" s="40">
        <f t="shared" si="3"/>
        <v>1</v>
      </c>
    </row>
    <row r="82" spans="1:14" ht="16" x14ac:dyDescent="0.2">
      <c r="A82" s="40">
        <v>81</v>
      </c>
      <c r="B82" s="40" t="s">
        <v>14</v>
      </c>
      <c r="C82" s="40">
        <v>13</v>
      </c>
      <c r="D82" s="40" t="s">
        <v>16</v>
      </c>
      <c r="E82" s="40" t="s">
        <v>16</v>
      </c>
      <c r="F82" s="40" t="s">
        <v>21</v>
      </c>
      <c r="G82" s="40" t="s">
        <v>22</v>
      </c>
      <c r="H82" s="40" t="s">
        <v>16</v>
      </c>
      <c r="I82" s="40">
        <v>4</v>
      </c>
      <c r="J82" s="40" t="s">
        <v>42</v>
      </c>
      <c r="K82" s="40" t="s">
        <v>45</v>
      </c>
      <c r="L82" s="40">
        <v>15</v>
      </c>
      <c r="M82" s="40">
        <f t="shared" si="2"/>
        <v>0</v>
      </c>
      <c r="N82" s="40">
        <f t="shared" si="3"/>
        <v>0</v>
      </c>
    </row>
    <row r="83" spans="1:14" ht="16" x14ac:dyDescent="0.2">
      <c r="A83" s="40">
        <v>82</v>
      </c>
      <c r="B83" s="40" t="s">
        <v>14</v>
      </c>
      <c r="C83" s="40">
        <v>4.7</v>
      </c>
      <c r="D83" s="40" t="s">
        <v>17</v>
      </c>
      <c r="E83" s="40" t="s">
        <v>17</v>
      </c>
      <c r="F83" s="40" t="s">
        <v>20</v>
      </c>
      <c r="G83" s="40" t="s">
        <v>24</v>
      </c>
      <c r="H83" s="40" t="s">
        <v>16</v>
      </c>
      <c r="I83" s="40">
        <v>3</v>
      </c>
      <c r="J83" s="40" t="s">
        <v>37</v>
      </c>
      <c r="K83" s="40" t="s">
        <v>47</v>
      </c>
      <c r="L83" s="40">
        <v>10</v>
      </c>
      <c r="M83" s="40">
        <f t="shared" si="2"/>
        <v>1</v>
      </c>
      <c r="N83" s="40">
        <f t="shared" si="3"/>
        <v>1</v>
      </c>
    </row>
    <row r="84" spans="1:14" ht="16" x14ac:dyDescent="0.2">
      <c r="A84" s="40">
        <v>83</v>
      </c>
      <c r="B84" s="40" t="s">
        <v>15</v>
      </c>
      <c r="C84" s="40">
        <v>5.8</v>
      </c>
      <c r="D84" s="40" t="s">
        <v>16</v>
      </c>
      <c r="E84" s="40" t="s">
        <v>17</v>
      </c>
      <c r="F84" s="40" t="s">
        <v>21</v>
      </c>
      <c r="G84" s="40" t="s">
        <v>23</v>
      </c>
      <c r="H84" s="40" t="s">
        <v>16</v>
      </c>
      <c r="I84" s="40">
        <v>5</v>
      </c>
      <c r="J84" s="40" t="s">
        <v>29</v>
      </c>
      <c r="K84" s="40" t="s">
        <v>47</v>
      </c>
      <c r="L84" s="40">
        <v>19</v>
      </c>
      <c r="M84" s="40">
        <f t="shared" si="2"/>
        <v>0</v>
      </c>
      <c r="N84" s="40">
        <f t="shared" si="3"/>
        <v>1</v>
      </c>
    </row>
    <row r="85" spans="1:14" ht="16" x14ac:dyDescent="0.2">
      <c r="A85" s="40">
        <v>84</v>
      </c>
      <c r="B85" s="40" t="s">
        <v>15</v>
      </c>
      <c r="C85" s="40">
        <v>11.6</v>
      </c>
      <c r="D85" s="40" t="s">
        <v>16</v>
      </c>
      <c r="E85" s="40" t="s">
        <v>16</v>
      </c>
      <c r="F85" s="40" t="s">
        <v>20</v>
      </c>
      <c r="G85" s="40" t="s">
        <v>23</v>
      </c>
      <c r="H85" s="40" t="s">
        <v>16</v>
      </c>
      <c r="I85" s="40">
        <v>3</v>
      </c>
      <c r="J85" s="40" t="s">
        <v>42</v>
      </c>
      <c r="K85" s="40" t="s">
        <v>47</v>
      </c>
      <c r="L85" s="40">
        <v>8</v>
      </c>
      <c r="M85" s="40">
        <f t="shared" si="2"/>
        <v>0</v>
      </c>
      <c r="N85" s="40">
        <f t="shared" si="3"/>
        <v>0</v>
      </c>
    </row>
    <row r="86" spans="1:14" ht="16" x14ac:dyDescent="0.2">
      <c r="A86" s="40">
        <v>85</v>
      </c>
      <c r="B86" s="40" t="s">
        <v>12</v>
      </c>
      <c r="C86" s="40">
        <v>5.8</v>
      </c>
      <c r="D86" s="40" t="s">
        <v>17</v>
      </c>
      <c r="E86" s="40" t="s">
        <v>16</v>
      </c>
      <c r="F86" s="40" t="s">
        <v>20</v>
      </c>
      <c r="G86" s="40" t="s">
        <v>23</v>
      </c>
      <c r="H86" s="40" t="s">
        <v>16</v>
      </c>
      <c r="I86" s="40">
        <v>4</v>
      </c>
      <c r="J86" s="40" t="s">
        <v>33</v>
      </c>
      <c r="K86" s="40" t="s">
        <v>47</v>
      </c>
      <c r="L86" s="40">
        <v>10</v>
      </c>
      <c r="M86" s="40">
        <f t="shared" si="2"/>
        <v>1</v>
      </c>
      <c r="N86" s="40">
        <f t="shared" si="3"/>
        <v>0</v>
      </c>
    </row>
    <row r="87" spans="1:14" ht="16" x14ac:dyDescent="0.2">
      <c r="A87" s="40">
        <v>86</v>
      </c>
      <c r="B87" s="40" t="s">
        <v>13</v>
      </c>
      <c r="C87" s="40">
        <v>6.6</v>
      </c>
      <c r="D87" s="40" t="s">
        <v>16</v>
      </c>
      <c r="E87" s="40" t="s">
        <v>17</v>
      </c>
      <c r="F87" s="40" t="s">
        <v>18</v>
      </c>
      <c r="G87" s="40" t="s">
        <v>22</v>
      </c>
      <c r="H87" s="40" t="s">
        <v>16</v>
      </c>
      <c r="I87" s="40">
        <v>2</v>
      </c>
      <c r="J87" s="40" t="s">
        <v>34</v>
      </c>
      <c r="K87" s="40" t="s">
        <v>45</v>
      </c>
      <c r="L87" s="40">
        <v>14</v>
      </c>
      <c r="M87" s="40">
        <f t="shared" si="2"/>
        <v>0</v>
      </c>
      <c r="N87" s="40">
        <f t="shared" si="3"/>
        <v>1</v>
      </c>
    </row>
    <row r="88" spans="1:14" ht="16" x14ac:dyDescent="0.2">
      <c r="A88" s="40">
        <v>87</v>
      </c>
      <c r="B88" s="40" t="s">
        <v>15</v>
      </c>
      <c r="C88" s="40">
        <v>17.2</v>
      </c>
      <c r="D88" s="40" t="s">
        <v>16</v>
      </c>
      <c r="E88" s="40" t="s">
        <v>17</v>
      </c>
      <c r="F88" s="40" t="s">
        <v>21</v>
      </c>
      <c r="G88" s="40" t="s">
        <v>23</v>
      </c>
      <c r="H88" s="40" t="s">
        <v>16</v>
      </c>
      <c r="I88" s="40">
        <v>4</v>
      </c>
      <c r="J88" s="40" t="s">
        <v>31</v>
      </c>
      <c r="K88" s="40" t="s">
        <v>45</v>
      </c>
      <c r="L88" s="40">
        <v>9</v>
      </c>
      <c r="M88" s="40">
        <f t="shared" si="2"/>
        <v>0</v>
      </c>
      <c r="N88" s="40">
        <f t="shared" si="3"/>
        <v>1</v>
      </c>
    </row>
    <row r="89" spans="1:14" ht="16" x14ac:dyDescent="0.2">
      <c r="A89" s="40">
        <v>88</v>
      </c>
      <c r="B89" s="40" t="s">
        <v>13</v>
      </c>
      <c r="C89" s="40">
        <v>19.2</v>
      </c>
      <c r="D89" s="40" t="s">
        <v>16</v>
      </c>
      <c r="E89" s="40" t="s">
        <v>17</v>
      </c>
      <c r="F89" s="40" t="s">
        <v>21</v>
      </c>
      <c r="G89" s="40" t="s">
        <v>24</v>
      </c>
      <c r="H89" s="40" t="s">
        <v>16</v>
      </c>
      <c r="I89" s="40">
        <v>5</v>
      </c>
      <c r="J89" s="40" t="s">
        <v>44</v>
      </c>
      <c r="K89" s="40" t="s">
        <v>46</v>
      </c>
      <c r="L89" s="40">
        <v>19</v>
      </c>
      <c r="M89" s="40">
        <f t="shared" si="2"/>
        <v>0</v>
      </c>
      <c r="N89" s="40">
        <f t="shared" si="3"/>
        <v>1</v>
      </c>
    </row>
    <row r="90" spans="1:14" ht="16" x14ac:dyDescent="0.2">
      <c r="A90" s="40">
        <v>89</v>
      </c>
      <c r="B90" s="40" t="s">
        <v>15</v>
      </c>
      <c r="C90" s="40">
        <v>7.5</v>
      </c>
      <c r="D90" s="40" t="s">
        <v>16</v>
      </c>
      <c r="E90" s="40" t="s">
        <v>17</v>
      </c>
      <c r="F90" s="40" t="s">
        <v>18</v>
      </c>
      <c r="G90" s="40" t="s">
        <v>22</v>
      </c>
      <c r="H90" s="40" t="s">
        <v>16</v>
      </c>
      <c r="I90" s="40">
        <v>5</v>
      </c>
      <c r="J90" s="40" t="s">
        <v>42</v>
      </c>
      <c r="K90" s="40" t="s">
        <v>46</v>
      </c>
      <c r="L90" s="40">
        <v>13</v>
      </c>
      <c r="M90" s="40">
        <f t="shared" si="2"/>
        <v>0</v>
      </c>
      <c r="N90" s="40">
        <f t="shared" si="3"/>
        <v>1</v>
      </c>
    </row>
    <row r="91" spans="1:14" ht="16" x14ac:dyDescent="0.2">
      <c r="A91" s="40">
        <v>90</v>
      </c>
      <c r="B91" s="40" t="s">
        <v>15</v>
      </c>
      <c r="C91" s="40">
        <v>4.3</v>
      </c>
      <c r="D91" s="40" t="s">
        <v>16</v>
      </c>
      <c r="E91" s="40" t="s">
        <v>17</v>
      </c>
      <c r="F91" s="40" t="s">
        <v>21</v>
      </c>
      <c r="G91" s="40" t="s">
        <v>24</v>
      </c>
      <c r="H91" s="40" t="s">
        <v>16</v>
      </c>
      <c r="I91" s="40">
        <v>4</v>
      </c>
      <c r="J91" s="40" t="s">
        <v>32</v>
      </c>
      <c r="K91" s="40" t="s">
        <v>46</v>
      </c>
      <c r="L91" s="40">
        <v>16</v>
      </c>
      <c r="M91" s="40">
        <f t="shared" si="2"/>
        <v>0</v>
      </c>
      <c r="N91" s="40">
        <f t="shared" si="3"/>
        <v>1</v>
      </c>
    </row>
    <row r="92" spans="1:14" ht="16" x14ac:dyDescent="0.2">
      <c r="A92" s="40">
        <v>91</v>
      </c>
      <c r="B92" s="40" t="s">
        <v>14</v>
      </c>
      <c r="C92" s="40">
        <v>17.899999999999999</v>
      </c>
      <c r="D92" s="40" t="s">
        <v>16</v>
      </c>
      <c r="E92" s="40" t="s">
        <v>17</v>
      </c>
      <c r="F92" s="40" t="s">
        <v>21</v>
      </c>
      <c r="G92" s="40" t="s">
        <v>22</v>
      </c>
      <c r="H92" s="40" t="s">
        <v>16</v>
      </c>
      <c r="I92" s="40">
        <v>4</v>
      </c>
      <c r="J92" s="40" t="s">
        <v>33</v>
      </c>
      <c r="K92" s="40" t="s">
        <v>46</v>
      </c>
      <c r="L92" s="40">
        <v>9</v>
      </c>
      <c r="M92" s="40">
        <f t="shared" si="2"/>
        <v>0</v>
      </c>
      <c r="N92" s="40">
        <f t="shared" si="3"/>
        <v>1</v>
      </c>
    </row>
    <row r="93" spans="1:14" ht="16" x14ac:dyDescent="0.2">
      <c r="A93" s="40">
        <v>92</v>
      </c>
      <c r="B93" s="40" t="s">
        <v>14</v>
      </c>
      <c r="C93" s="40">
        <v>14.5</v>
      </c>
      <c r="D93" s="40" t="s">
        <v>16</v>
      </c>
      <c r="E93" s="40" t="s">
        <v>17</v>
      </c>
      <c r="F93" s="40" t="s">
        <v>21</v>
      </c>
      <c r="G93" s="40" t="s">
        <v>23</v>
      </c>
      <c r="H93" s="40" t="s">
        <v>17</v>
      </c>
      <c r="I93" s="40">
        <v>3</v>
      </c>
      <c r="J93" s="40" t="s">
        <v>25</v>
      </c>
      <c r="K93" s="40" t="s">
        <v>47</v>
      </c>
      <c r="L93" s="40">
        <v>18</v>
      </c>
      <c r="M93" s="40">
        <f t="shared" si="2"/>
        <v>0</v>
      </c>
      <c r="N93" s="40">
        <f t="shared" si="3"/>
        <v>1</v>
      </c>
    </row>
    <row r="94" spans="1:14" ht="16" x14ac:dyDescent="0.2">
      <c r="A94" s="40">
        <v>93</v>
      </c>
      <c r="B94" s="40" t="s">
        <v>12</v>
      </c>
      <c r="C94" s="40">
        <v>11.6</v>
      </c>
      <c r="D94" s="40" t="s">
        <v>16</v>
      </c>
      <c r="E94" s="40" t="s">
        <v>17</v>
      </c>
      <c r="F94" s="40" t="s">
        <v>20</v>
      </c>
      <c r="G94" s="40" t="s">
        <v>23</v>
      </c>
      <c r="H94" s="40" t="s">
        <v>16</v>
      </c>
      <c r="I94" s="40">
        <v>5</v>
      </c>
      <c r="J94" s="40" t="s">
        <v>39</v>
      </c>
      <c r="K94" s="40" t="s">
        <v>45</v>
      </c>
      <c r="L94" s="40">
        <v>16</v>
      </c>
      <c r="M94" s="40">
        <f t="shared" si="2"/>
        <v>0</v>
      </c>
      <c r="N94" s="40">
        <f t="shared" si="3"/>
        <v>1</v>
      </c>
    </row>
    <row r="95" spans="1:14" ht="16" x14ac:dyDescent="0.2">
      <c r="A95" s="40">
        <v>94</v>
      </c>
      <c r="B95" s="40" t="s">
        <v>15</v>
      </c>
      <c r="C95" s="40">
        <v>7.9</v>
      </c>
      <c r="D95" s="40" t="s">
        <v>16</v>
      </c>
      <c r="E95" s="40" t="s">
        <v>17</v>
      </c>
      <c r="F95" s="40" t="s">
        <v>18</v>
      </c>
      <c r="G95" s="40" t="s">
        <v>23</v>
      </c>
      <c r="H95" s="40" t="s">
        <v>16</v>
      </c>
      <c r="I95" s="40">
        <v>4</v>
      </c>
      <c r="J95" s="40" t="s">
        <v>26</v>
      </c>
      <c r="K95" s="40" t="s">
        <v>45</v>
      </c>
      <c r="L95" s="40">
        <v>8</v>
      </c>
      <c r="M95" s="40">
        <f t="shared" si="2"/>
        <v>0</v>
      </c>
      <c r="N95" s="40">
        <f t="shared" si="3"/>
        <v>1</v>
      </c>
    </row>
    <row r="96" spans="1:14" ht="16" x14ac:dyDescent="0.2">
      <c r="A96" s="40">
        <v>95</v>
      </c>
      <c r="B96" s="40" t="s">
        <v>13</v>
      </c>
      <c r="C96" s="40">
        <v>3.3</v>
      </c>
      <c r="D96" s="40" t="s">
        <v>16</v>
      </c>
      <c r="E96" s="40" t="s">
        <v>16</v>
      </c>
      <c r="F96" s="40" t="s">
        <v>20</v>
      </c>
      <c r="G96" s="40" t="s">
        <v>24</v>
      </c>
      <c r="H96" s="40" t="s">
        <v>17</v>
      </c>
      <c r="I96" s="40">
        <v>4</v>
      </c>
      <c r="J96" s="40" t="s">
        <v>39</v>
      </c>
      <c r="K96" s="40" t="s">
        <v>46</v>
      </c>
      <c r="L96" s="40">
        <v>15</v>
      </c>
      <c r="M96" s="40">
        <f t="shared" si="2"/>
        <v>0</v>
      </c>
      <c r="N96" s="40">
        <f t="shared" si="3"/>
        <v>0</v>
      </c>
    </row>
    <row r="97" spans="1:14" ht="16" x14ac:dyDescent="0.2">
      <c r="A97" s="40">
        <v>96</v>
      </c>
      <c r="B97" s="40" t="s">
        <v>14</v>
      </c>
      <c r="C97" s="40">
        <v>3.8</v>
      </c>
      <c r="D97" s="40" t="s">
        <v>16</v>
      </c>
      <c r="E97" s="40" t="s">
        <v>17</v>
      </c>
      <c r="F97" s="40" t="s">
        <v>21</v>
      </c>
      <c r="G97" s="40" t="s">
        <v>24</v>
      </c>
      <c r="H97" s="40" t="s">
        <v>16</v>
      </c>
      <c r="I97" s="40">
        <v>5</v>
      </c>
      <c r="J97" s="40" t="s">
        <v>28</v>
      </c>
      <c r="K97" s="40" t="s">
        <v>45</v>
      </c>
      <c r="L97" s="40">
        <v>12</v>
      </c>
      <c r="M97" s="40">
        <f t="shared" si="2"/>
        <v>0</v>
      </c>
      <c r="N97" s="40">
        <f t="shared" si="3"/>
        <v>1</v>
      </c>
    </row>
    <row r="98" spans="1:14" ht="16" x14ac:dyDescent="0.2">
      <c r="A98" s="40">
        <v>97</v>
      </c>
      <c r="B98" s="40" t="s">
        <v>14</v>
      </c>
      <c r="C98" s="40">
        <v>12.7</v>
      </c>
      <c r="D98" s="40" t="s">
        <v>17</v>
      </c>
      <c r="E98" s="40" t="s">
        <v>16</v>
      </c>
      <c r="F98" s="40" t="s">
        <v>20</v>
      </c>
      <c r="G98" s="40" t="s">
        <v>22</v>
      </c>
      <c r="H98" s="40" t="s">
        <v>16</v>
      </c>
      <c r="I98" s="40">
        <v>1</v>
      </c>
      <c r="J98" s="40" t="s">
        <v>30</v>
      </c>
      <c r="K98" s="40" t="s">
        <v>46</v>
      </c>
      <c r="L98" s="40">
        <v>13</v>
      </c>
      <c r="M98" s="40">
        <f t="shared" si="2"/>
        <v>1</v>
      </c>
      <c r="N98" s="40">
        <f t="shared" si="3"/>
        <v>0</v>
      </c>
    </row>
    <row r="99" spans="1:14" ht="16" x14ac:dyDescent="0.2">
      <c r="A99" s="40">
        <v>98</v>
      </c>
      <c r="B99" s="40" t="s">
        <v>14</v>
      </c>
      <c r="C99" s="40">
        <v>4.4000000000000004</v>
      </c>
      <c r="D99" s="40" t="s">
        <v>17</v>
      </c>
      <c r="E99" s="40" t="s">
        <v>17</v>
      </c>
      <c r="F99" s="40" t="s">
        <v>21</v>
      </c>
      <c r="G99" s="40" t="s">
        <v>22</v>
      </c>
      <c r="H99" s="40" t="s">
        <v>16</v>
      </c>
      <c r="I99" s="40">
        <v>3</v>
      </c>
      <c r="J99" s="40" t="s">
        <v>42</v>
      </c>
      <c r="K99" s="40" t="s">
        <v>46</v>
      </c>
      <c r="L99" s="40">
        <v>12</v>
      </c>
      <c r="M99" s="40">
        <f t="shared" si="2"/>
        <v>1</v>
      </c>
      <c r="N99" s="40">
        <f t="shared" si="3"/>
        <v>1</v>
      </c>
    </row>
    <row r="100" spans="1:14" ht="16" x14ac:dyDescent="0.2">
      <c r="A100" s="40">
        <v>99</v>
      </c>
      <c r="B100" s="40" t="s">
        <v>12</v>
      </c>
      <c r="C100" s="40">
        <v>8.9</v>
      </c>
      <c r="D100" s="40" t="s">
        <v>16</v>
      </c>
      <c r="E100" s="40" t="s">
        <v>16</v>
      </c>
      <c r="F100" s="40" t="s">
        <v>19</v>
      </c>
      <c r="G100" s="40" t="s">
        <v>22</v>
      </c>
      <c r="H100" s="40" t="s">
        <v>16</v>
      </c>
      <c r="I100" s="40">
        <v>1</v>
      </c>
      <c r="J100" s="40" t="s">
        <v>33</v>
      </c>
      <c r="K100" s="40" t="s">
        <v>46</v>
      </c>
      <c r="L100" s="40">
        <v>8</v>
      </c>
      <c r="M100" s="40">
        <f t="shared" si="2"/>
        <v>0</v>
      </c>
      <c r="N100" s="40">
        <f t="shared" si="3"/>
        <v>0</v>
      </c>
    </row>
    <row r="101" spans="1:14" ht="16" x14ac:dyDescent="0.2">
      <c r="A101" s="40">
        <v>100</v>
      </c>
      <c r="B101" s="40" t="s">
        <v>12</v>
      </c>
      <c r="C101" s="40">
        <v>7.5</v>
      </c>
      <c r="D101" s="40" t="s">
        <v>16</v>
      </c>
      <c r="E101" s="40" t="s">
        <v>16</v>
      </c>
      <c r="F101" s="40" t="s">
        <v>20</v>
      </c>
      <c r="G101" s="40" t="s">
        <v>22</v>
      </c>
      <c r="H101" s="40" t="s">
        <v>16</v>
      </c>
      <c r="I101" s="40">
        <v>2</v>
      </c>
      <c r="J101" s="40" t="s">
        <v>35</v>
      </c>
      <c r="K101" s="40" t="s">
        <v>45</v>
      </c>
      <c r="L101" s="40">
        <v>8</v>
      </c>
      <c r="M101" s="40">
        <f t="shared" si="2"/>
        <v>0</v>
      </c>
      <c r="N101" s="40">
        <f t="shared" si="3"/>
        <v>0</v>
      </c>
    </row>
    <row r="102" spans="1:14" ht="16" x14ac:dyDescent="0.2">
      <c r="A102" s="40">
        <v>101</v>
      </c>
      <c r="B102" s="40" t="s">
        <v>12</v>
      </c>
      <c r="C102" s="40">
        <v>7.7</v>
      </c>
      <c r="D102" s="40" t="s">
        <v>16</v>
      </c>
      <c r="E102" s="40" t="s">
        <v>17</v>
      </c>
      <c r="F102" s="40" t="s">
        <v>19</v>
      </c>
      <c r="G102" s="40" t="s">
        <v>23</v>
      </c>
      <c r="H102" s="40" t="s">
        <v>16</v>
      </c>
      <c r="I102" s="40">
        <v>5</v>
      </c>
      <c r="J102" s="40" t="s">
        <v>33</v>
      </c>
      <c r="K102" s="40" t="s">
        <v>46</v>
      </c>
      <c r="L102" s="40">
        <v>12</v>
      </c>
      <c r="M102" s="40">
        <f t="shared" si="2"/>
        <v>0</v>
      </c>
      <c r="N102" s="40">
        <f t="shared" si="3"/>
        <v>1</v>
      </c>
    </row>
    <row r="103" spans="1:14" ht="16" x14ac:dyDescent="0.2">
      <c r="A103" s="40">
        <v>102</v>
      </c>
      <c r="B103" s="40" t="s">
        <v>14</v>
      </c>
      <c r="C103" s="40">
        <v>8.1999999999999993</v>
      </c>
      <c r="D103" s="40" t="s">
        <v>16</v>
      </c>
      <c r="E103" s="40" t="s">
        <v>16</v>
      </c>
      <c r="F103" s="40" t="s">
        <v>20</v>
      </c>
      <c r="G103" s="40" t="s">
        <v>23</v>
      </c>
      <c r="H103" s="40" t="s">
        <v>16</v>
      </c>
      <c r="I103" s="40">
        <v>4</v>
      </c>
      <c r="J103" s="40" t="s">
        <v>40</v>
      </c>
      <c r="K103" s="40" t="s">
        <v>47</v>
      </c>
      <c r="L103" s="40">
        <v>11</v>
      </c>
      <c r="M103" s="40">
        <f t="shared" si="2"/>
        <v>0</v>
      </c>
      <c r="N103" s="40">
        <f t="shared" si="3"/>
        <v>0</v>
      </c>
    </row>
    <row r="104" spans="1:14" ht="16" x14ac:dyDescent="0.2">
      <c r="A104" s="40">
        <v>103</v>
      </c>
      <c r="B104" s="40" t="s">
        <v>13</v>
      </c>
      <c r="C104" s="40">
        <v>7.7</v>
      </c>
      <c r="D104" s="40" t="s">
        <v>17</v>
      </c>
      <c r="E104" s="40" t="s">
        <v>17</v>
      </c>
      <c r="F104" s="40" t="s">
        <v>21</v>
      </c>
      <c r="G104" s="40" t="s">
        <v>22</v>
      </c>
      <c r="H104" s="40" t="s">
        <v>17</v>
      </c>
      <c r="I104" s="40">
        <v>4</v>
      </c>
      <c r="J104" s="40" t="s">
        <v>42</v>
      </c>
      <c r="K104" s="40" t="s">
        <v>45</v>
      </c>
      <c r="L104" s="40">
        <v>12</v>
      </c>
      <c r="M104" s="40">
        <f t="shared" si="2"/>
        <v>1</v>
      </c>
      <c r="N104" s="40">
        <f t="shared" si="3"/>
        <v>1</v>
      </c>
    </row>
    <row r="105" spans="1:14" ht="16" x14ac:dyDescent="0.2">
      <c r="A105" s="40">
        <v>104</v>
      </c>
      <c r="B105" s="40" t="s">
        <v>14</v>
      </c>
      <c r="C105" s="40">
        <v>19.100000000000001</v>
      </c>
      <c r="D105" s="40" t="s">
        <v>17</v>
      </c>
      <c r="E105" s="40" t="s">
        <v>17</v>
      </c>
      <c r="F105" s="40" t="s">
        <v>21</v>
      </c>
      <c r="G105" s="40" t="s">
        <v>23</v>
      </c>
      <c r="H105" s="40" t="s">
        <v>16</v>
      </c>
      <c r="I105" s="40">
        <v>4</v>
      </c>
      <c r="J105" s="40" t="s">
        <v>40</v>
      </c>
      <c r="K105" s="40" t="s">
        <v>46</v>
      </c>
      <c r="L105" s="40">
        <v>12</v>
      </c>
      <c r="M105" s="40">
        <f t="shared" si="2"/>
        <v>1</v>
      </c>
      <c r="N105" s="40">
        <f t="shared" si="3"/>
        <v>1</v>
      </c>
    </row>
    <row r="106" spans="1:14" ht="16" x14ac:dyDescent="0.2">
      <c r="A106" s="40">
        <v>105</v>
      </c>
      <c r="B106" s="40" t="s">
        <v>15</v>
      </c>
      <c r="C106" s="40">
        <v>18.8</v>
      </c>
      <c r="D106" s="40" t="s">
        <v>16</v>
      </c>
      <c r="E106" s="40" t="s">
        <v>17</v>
      </c>
      <c r="F106" s="40" t="s">
        <v>18</v>
      </c>
      <c r="G106" s="40" t="s">
        <v>24</v>
      </c>
      <c r="H106" s="40" t="s">
        <v>16</v>
      </c>
      <c r="I106" s="40">
        <v>5</v>
      </c>
      <c r="J106" s="40" t="s">
        <v>36</v>
      </c>
      <c r="K106" s="40" t="s">
        <v>47</v>
      </c>
      <c r="L106" s="40">
        <v>16</v>
      </c>
      <c r="M106" s="40">
        <f t="shared" si="2"/>
        <v>0</v>
      </c>
      <c r="N106" s="40">
        <f t="shared" si="3"/>
        <v>1</v>
      </c>
    </row>
    <row r="107" spans="1:14" ht="16" x14ac:dyDescent="0.2">
      <c r="A107" s="40">
        <v>106</v>
      </c>
      <c r="B107" s="40" t="s">
        <v>12</v>
      </c>
      <c r="C107" s="40">
        <v>16.8</v>
      </c>
      <c r="D107" s="40" t="s">
        <v>16</v>
      </c>
      <c r="E107" s="40" t="s">
        <v>17</v>
      </c>
      <c r="F107" s="40" t="s">
        <v>19</v>
      </c>
      <c r="G107" s="40" t="s">
        <v>23</v>
      </c>
      <c r="H107" s="40" t="s">
        <v>16</v>
      </c>
      <c r="I107" s="40">
        <v>5</v>
      </c>
      <c r="J107" s="40" t="s">
        <v>32</v>
      </c>
      <c r="K107" s="40" t="s">
        <v>47</v>
      </c>
      <c r="L107" s="40">
        <v>8</v>
      </c>
      <c r="M107" s="40">
        <f t="shared" si="2"/>
        <v>0</v>
      </c>
      <c r="N107" s="40">
        <f t="shared" si="3"/>
        <v>1</v>
      </c>
    </row>
    <row r="108" spans="1:14" ht="16" x14ac:dyDescent="0.2">
      <c r="A108" s="40">
        <v>107</v>
      </c>
      <c r="B108" s="40" t="s">
        <v>13</v>
      </c>
      <c r="C108" s="40">
        <v>3.9</v>
      </c>
      <c r="D108" s="40" t="s">
        <v>16</v>
      </c>
      <c r="E108" s="40" t="s">
        <v>17</v>
      </c>
      <c r="F108" s="40" t="s">
        <v>19</v>
      </c>
      <c r="G108" s="40" t="s">
        <v>23</v>
      </c>
      <c r="H108" s="40" t="s">
        <v>16</v>
      </c>
      <c r="I108" s="40">
        <v>5</v>
      </c>
      <c r="J108" s="40" t="s">
        <v>41</v>
      </c>
      <c r="K108" s="40" t="s">
        <v>47</v>
      </c>
      <c r="L108" s="40">
        <v>16</v>
      </c>
      <c r="M108" s="40">
        <f t="shared" si="2"/>
        <v>0</v>
      </c>
      <c r="N108" s="40">
        <f t="shared" si="3"/>
        <v>1</v>
      </c>
    </row>
    <row r="109" spans="1:14" ht="16" x14ac:dyDescent="0.2">
      <c r="A109" s="40">
        <v>108</v>
      </c>
      <c r="B109" s="40" t="s">
        <v>12</v>
      </c>
      <c r="C109" s="40">
        <v>3.2</v>
      </c>
      <c r="D109" s="40" t="s">
        <v>16</v>
      </c>
      <c r="E109" s="40" t="s">
        <v>16</v>
      </c>
      <c r="F109" s="40" t="s">
        <v>18</v>
      </c>
      <c r="G109" s="40" t="s">
        <v>23</v>
      </c>
      <c r="H109" s="40" t="s">
        <v>16</v>
      </c>
      <c r="I109" s="40">
        <v>5</v>
      </c>
      <c r="J109" s="40" t="s">
        <v>32</v>
      </c>
      <c r="K109" s="40" t="s">
        <v>46</v>
      </c>
      <c r="L109" s="40">
        <v>9</v>
      </c>
      <c r="M109" s="40">
        <f t="shared" si="2"/>
        <v>0</v>
      </c>
      <c r="N109" s="40">
        <f t="shared" si="3"/>
        <v>0</v>
      </c>
    </row>
    <row r="110" spans="1:14" ht="16" x14ac:dyDescent="0.2">
      <c r="A110" s="40">
        <v>109</v>
      </c>
      <c r="B110" s="40" t="s">
        <v>13</v>
      </c>
      <c r="C110" s="40">
        <v>11.4</v>
      </c>
      <c r="D110" s="40" t="s">
        <v>16</v>
      </c>
      <c r="E110" s="40" t="s">
        <v>17</v>
      </c>
      <c r="F110" s="40" t="s">
        <v>21</v>
      </c>
      <c r="G110" s="40" t="s">
        <v>23</v>
      </c>
      <c r="H110" s="40" t="s">
        <v>16</v>
      </c>
      <c r="I110" s="40">
        <v>3</v>
      </c>
      <c r="J110" s="40" t="s">
        <v>33</v>
      </c>
      <c r="K110" s="40" t="s">
        <v>46</v>
      </c>
      <c r="L110" s="40">
        <v>14</v>
      </c>
      <c r="M110" s="40">
        <f t="shared" si="2"/>
        <v>0</v>
      </c>
      <c r="N110" s="40">
        <f t="shared" si="3"/>
        <v>1</v>
      </c>
    </row>
    <row r="111" spans="1:14" ht="16" x14ac:dyDescent="0.2">
      <c r="A111" s="40">
        <v>110</v>
      </c>
      <c r="B111" s="40" t="s">
        <v>15</v>
      </c>
      <c r="C111" s="40">
        <v>12.4</v>
      </c>
      <c r="D111" s="40" t="s">
        <v>16</v>
      </c>
      <c r="E111" s="40" t="s">
        <v>16</v>
      </c>
      <c r="F111" s="40" t="s">
        <v>18</v>
      </c>
      <c r="G111" s="40" t="s">
        <v>22</v>
      </c>
      <c r="H111" s="40" t="s">
        <v>17</v>
      </c>
      <c r="I111" s="40">
        <v>5</v>
      </c>
      <c r="J111" s="40" t="s">
        <v>38</v>
      </c>
      <c r="K111" s="40" t="s">
        <v>47</v>
      </c>
      <c r="L111" s="40">
        <v>17</v>
      </c>
      <c r="M111" s="40">
        <f t="shared" si="2"/>
        <v>0</v>
      </c>
      <c r="N111" s="40">
        <f t="shared" si="3"/>
        <v>0</v>
      </c>
    </row>
    <row r="112" spans="1:14" ht="16" x14ac:dyDescent="0.2">
      <c r="A112" s="40">
        <v>111</v>
      </c>
      <c r="B112" s="40" t="s">
        <v>14</v>
      </c>
      <c r="C112" s="40">
        <v>18.2</v>
      </c>
      <c r="D112" s="40" t="s">
        <v>16</v>
      </c>
      <c r="E112" s="40" t="s">
        <v>16</v>
      </c>
      <c r="F112" s="40" t="s">
        <v>18</v>
      </c>
      <c r="G112" s="40" t="s">
        <v>23</v>
      </c>
      <c r="H112" s="40" t="s">
        <v>16</v>
      </c>
      <c r="I112" s="40">
        <v>3</v>
      </c>
      <c r="J112" s="40" t="s">
        <v>25</v>
      </c>
      <c r="K112" s="40" t="s">
        <v>46</v>
      </c>
      <c r="L112" s="40">
        <v>19</v>
      </c>
      <c r="M112" s="40">
        <f t="shared" si="2"/>
        <v>0</v>
      </c>
      <c r="N112" s="40">
        <f t="shared" si="3"/>
        <v>0</v>
      </c>
    </row>
    <row r="113" spans="1:14" ht="16" x14ac:dyDescent="0.2">
      <c r="A113" s="40">
        <v>112</v>
      </c>
      <c r="B113" s="40" t="s">
        <v>12</v>
      </c>
      <c r="C113" s="40">
        <v>15.5</v>
      </c>
      <c r="D113" s="40" t="s">
        <v>16</v>
      </c>
      <c r="E113" s="40" t="s">
        <v>17</v>
      </c>
      <c r="F113" s="40" t="s">
        <v>20</v>
      </c>
      <c r="G113" s="40" t="s">
        <v>23</v>
      </c>
      <c r="H113" s="40" t="s">
        <v>16</v>
      </c>
      <c r="I113" s="40">
        <v>4</v>
      </c>
      <c r="J113" s="40" t="s">
        <v>33</v>
      </c>
      <c r="K113" s="40" t="s">
        <v>45</v>
      </c>
      <c r="L113" s="40">
        <v>18</v>
      </c>
      <c r="M113" s="40">
        <f t="shared" si="2"/>
        <v>0</v>
      </c>
      <c r="N113" s="40">
        <f t="shared" si="3"/>
        <v>1</v>
      </c>
    </row>
    <row r="114" spans="1:14" ht="16" x14ac:dyDescent="0.2">
      <c r="A114" s="40">
        <v>113</v>
      </c>
      <c r="B114" s="40" t="s">
        <v>13</v>
      </c>
      <c r="C114" s="40">
        <v>8.6999999999999993</v>
      </c>
      <c r="D114" s="40" t="s">
        <v>16</v>
      </c>
      <c r="E114" s="40" t="s">
        <v>17</v>
      </c>
      <c r="F114" s="40" t="s">
        <v>20</v>
      </c>
      <c r="G114" s="40" t="s">
        <v>23</v>
      </c>
      <c r="H114" s="40" t="s">
        <v>16</v>
      </c>
      <c r="I114" s="40">
        <v>3</v>
      </c>
      <c r="J114" s="40" t="s">
        <v>34</v>
      </c>
      <c r="K114" s="40" t="s">
        <v>47</v>
      </c>
      <c r="L114" s="40">
        <v>15</v>
      </c>
      <c r="M114" s="40">
        <f t="shared" si="2"/>
        <v>0</v>
      </c>
      <c r="N114" s="40">
        <f t="shared" si="3"/>
        <v>1</v>
      </c>
    </row>
    <row r="115" spans="1:14" ht="16" x14ac:dyDescent="0.2">
      <c r="A115" s="40">
        <v>114</v>
      </c>
      <c r="B115" s="40" t="s">
        <v>14</v>
      </c>
      <c r="C115" s="40">
        <v>11.3</v>
      </c>
      <c r="D115" s="40" t="s">
        <v>16</v>
      </c>
      <c r="E115" s="40" t="s">
        <v>16</v>
      </c>
      <c r="F115" s="40" t="s">
        <v>18</v>
      </c>
      <c r="G115" s="40" t="s">
        <v>23</v>
      </c>
      <c r="H115" s="40" t="s">
        <v>16</v>
      </c>
      <c r="I115" s="40">
        <v>5</v>
      </c>
      <c r="J115" s="40" t="s">
        <v>35</v>
      </c>
      <c r="K115" s="40" t="s">
        <v>47</v>
      </c>
      <c r="L115" s="40">
        <v>11</v>
      </c>
      <c r="M115" s="40">
        <f t="shared" si="2"/>
        <v>0</v>
      </c>
      <c r="N115" s="40">
        <f t="shared" si="3"/>
        <v>0</v>
      </c>
    </row>
    <row r="116" spans="1:14" ht="16" x14ac:dyDescent="0.2">
      <c r="A116" s="40">
        <v>115</v>
      </c>
      <c r="B116" s="40" t="s">
        <v>13</v>
      </c>
      <c r="C116" s="40">
        <v>10.4</v>
      </c>
      <c r="D116" s="40" t="s">
        <v>16</v>
      </c>
      <c r="E116" s="40" t="s">
        <v>17</v>
      </c>
      <c r="F116" s="40" t="s">
        <v>20</v>
      </c>
      <c r="G116" s="40" t="s">
        <v>22</v>
      </c>
      <c r="H116" s="40" t="s">
        <v>17</v>
      </c>
      <c r="I116" s="40">
        <v>4</v>
      </c>
      <c r="J116" s="40" t="s">
        <v>30</v>
      </c>
      <c r="K116" s="40" t="s">
        <v>46</v>
      </c>
      <c r="L116" s="40">
        <v>13</v>
      </c>
      <c r="M116" s="40">
        <f t="shared" si="2"/>
        <v>0</v>
      </c>
      <c r="N116" s="40">
        <f t="shared" si="3"/>
        <v>1</v>
      </c>
    </row>
    <row r="117" spans="1:14" ht="16" x14ac:dyDescent="0.2">
      <c r="A117" s="40">
        <v>116</v>
      </c>
      <c r="B117" s="40" t="s">
        <v>12</v>
      </c>
      <c r="C117" s="40">
        <v>12.4</v>
      </c>
      <c r="D117" s="40" t="s">
        <v>16</v>
      </c>
      <c r="E117" s="40" t="s">
        <v>17</v>
      </c>
      <c r="F117" s="40" t="s">
        <v>18</v>
      </c>
      <c r="G117" s="40" t="s">
        <v>23</v>
      </c>
      <c r="H117" s="40" t="s">
        <v>16</v>
      </c>
      <c r="I117" s="40">
        <v>5</v>
      </c>
      <c r="J117" s="40" t="s">
        <v>40</v>
      </c>
      <c r="K117" s="40" t="s">
        <v>45</v>
      </c>
      <c r="L117" s="40">
        <v>17</v>
      </c>
      <c r="M117" s="40">
        <f t="shared" si="2"/>
        <v>0</v>
      </c>
      <c r="N117" s="40">
        <f t="shared" si="3"/>
        <v>1</v>
      </c>
    </row>
    <row r="118" spans="1:14" ht="16" x14ac:dyDescent="0.2">
      <c r="A118" s="40">
        <v>117</v>
      </c>
      <c r="B118" s="40" t="s">
        <v>14</v>
      </c>
      <c r="C118" s="40">
        <v>10.5</v>
      </c>
      <c r="D118" s="40" t="s">
        <v>16</v>
      </c>
      <c r="E118" s="40" t="s">
        <v>17</v>
      </c>
      <c r="F118" s="40" t="s">
        <v>21</v>
      </c>
      <c r="G118" s="40" t="s">
        <v>23</v>
      </c>
      <c r="H118" s="40" t="s">
        <v>17</v>
      </c>
      <c r="I118" s="40">
        <v>4</v>
      </c>
      <c r="J118" s="40" t="s">
        <v>25</v>
      </c>
      <c r="K118" s="40" t="s">
        <v>45</v>
      </c>
      <c r="L118" s="40">
        <v>15</v>
      </c>
      <c r="M118" s="40">
        <f t="shared" si="2"/>
        <v>0</v>
      </c>
      <c r="N118" s="40">
        <f t="shared" si="3"/>
        <v>1</v>
      </c>
    </row>
    <row r="119" spans="1:14" ht="16" x14ac:dyDescent="0.2">
      <c r="A119" s="40">
        <v>118</v>
      </c>
      <c r="B119" s="40" t="s">
        <v>12</v>
      </c>
      <c r="C119" s="40">
        <v>16.5</v>
      </c>
      <c r="D119" s="40" t="s">
        <v>16</v>
      </c>
      <c r="E119" s="40" t="s">
        <v>17</v>
      </c>
      <c r="F119" s="40" t="s">
        <v>20</v>
      </c>
      <c r="G119" s="40" t="s">
        <v>22</v>
      </c>
      <c r="H119" s="40" t="s">
        <v>16</v>
      </c>
      <c r="I119" s="40">
        <v>4</v>
      </c>
      <c r="J119" s="40" t="s">
        <v>33</v>
      </c>
      <c r="K119" s="40" t="s">
        <v>46</v>
      </c>
      <c r="L119" s="40">
        <v>10</v>
      </c>
      <c r="M119" s="40">
        <f t="shared" si="2"/>
        <v>0</v>
      </c>
      <c r="N119" s="40">
        <f t="shared" si="3"/>
        <v>1</v>
      </c>
    </row>
    <row r="120" spans="1:14" ht="16" x14ac:dyDescent="0.2">
      <c r="A120" s="40">
        <v>119</v>
      </c>
      <c r="B120" s="40" t="s">
        <v>12</v>
      </c>
      <c r="C120" s="40">
        <v>15.1</v>
      </c>
      <c r="D120" s="40" t="s">
        <v>16</v>
      </c>
      <c r="E120" s="40" t="s">
        <v>17</v>
      </c>
      <c r="F120" s="40" t="s">
        <v>18</v>
      </c>
      <c r="G120" s="40" t="s">
        <v>23</v>
      </c>
      <c r="H120" s="40" t="s">
        <v>16</v>
      </c>
      <c r="I120" s="40">
        <v>5</v>
      </c>
      <c r="J120" s="40" t="s">
        <v>38</v>
      </c>
      <c r="K120" s="40" t="s">
        <v>46</v>
      </c>
      <c r="L120" s="40">
        <v>11</v>
      </c>
      <c r="M120" s="40">
        <f t="shared" si="2"/>
        <v>0</v>
      </c>
      <c r="N120" s="40">
        <f t="shared" si="3"/>
        <v>1</v>
      </c>
    </row>
    <row r="121" spans="1:14" ht="16" x14ac:dyDescent="0.2">
      <c r="A121" s="40">
        <v>120</v>
      </c>
      <c r="B121" s="40" t="s">
        <v>14</v>
      </c>
      <c r="C121" s="40">
        <v>10.1</v>
      </c>
      <c r="D121" s="40" t="s">
        <v>16</v>
      </c>
      <c r="E121" s="40" t="s">
        <v>17</v>
      </c>
      <c r="F121" s="40" t="s">
        <v>18</v>
      </c>
      <c r="G121" s="40" t="s">
        <v>23</v>
      </c>
      <c r="H121" s="40" t="s">
        <v>16</v>
      </c>
      <c r="I121" s="40">
        <v>3</v>
      </c>
      <c r="J121" s="40" t="s">
        <v>30</v>
      </c>
      <c r="K121" s="40" t="s">
        <v>46</v>
      </c>
      <c r="L121" s="40">
        <v>17</v>
      </c>
      <c r="M121" s="40">
        <f t="shared" si="2"/>
        <v>0</v>
      </c>
      <c r="N121" s="40">
        <f t="shared" si="3"/>
        <v>1</v>
      </c>
    </row>
    <row r="122" spans="1:14" ht="16" x14ac:dyDescent="0.2">
      <c r="A122" s="40">
        <v>121</v>
      </c>
      <c r="B122" s="40" t="s">
        <v>14</v>
      </c>
      <c r="C122" s="40">
        <v>16.8</v>
      </c>
      <c r="D122" s="40" t="s">
        <v>16</v>
      </c>
      <c r="E122" s="40" t="s">
        <v>17</v>
      </c>
      <c r="F122" s="40" t="s">
        <v>21</v>
      </c>
      <c r="G122" s="40" t="s">
        <v>22</v>
      </c>
      <c r="H122" s="40" t="s">
        <v>16</v>
      </c>
      <c r="I122" s="40">
        <v>3</v>
      </c>
      <c r="J122" s="40" t="s">
        <v>28</v>
      </c>
      <c r="K122" s="40" t="s">
        <v>45</v>
      </c>
      <c r="L122" s="40">
        <v>16</v>
      </c>
      <c r="M122" s="40">
        <f t="shared" si="2"/>
        <v>0</v>
      </c>
      <c r="N122" s="40">
        <f t="shared" si="3"/>
        <v>1</v>
      </c>
    </row>
    <row r="123" spans="1:14" ht="16" x14ac:dyDescent="0.2">
      <c r="A123" s="40">
        <v>122</v>
      </c>
      <c r="B123" s="40" t="s">
        <v>15</v>
      </c>
      <c r="C123" s="40">
        <v>4.0999999999999996</v>
      </c>
      <c r="D123" s="40" t="s">
        <v>16</v>
      </c>
      <c r="E123" s="40" t="s">
        <v>16</v>
      </c>
      <c r="F123" s="40" t="s">
        <v>18</v>
      </c>
      <c r="G123" s="40" t="s">
        <v>23</v>
      </c>
      <c r="H123" s="40" t="s">
        <v>16</v>
      </c>
      <c r="I123" s="40">
        <v>2</v>
      </c>
      <c r="J123" s="40" t="s">
        <v>44</v>
      </c>
      <c r="K123" s="40" t="s">
        <v>45</v>
      </c>
      <c r="L123" s="40">
        <v>11</v>
      </c>
      <c r="M123" s="40">
        <f t="shared" si="2"/>
        <v>0</v>
      </c>
      <c r="N123" s="40">
        <f t="shared" si="3"/>
        <v>0</v>
      </c>
    </row>
    <row r="124" spans="1:14" ht="16" x14ac:dyDescent="0.2">
      <c r="A124" s="40">
        <v>123</v>
      </c>
      <c r="B124" s="40" t="s">
        <v>12</v>
      </c>
      <c r="C124" s="40">
        <v>7.9</v>
      </c>
      <c r="D124" s="40" t="s">
        <v>17</v>
      </c>
      <c r="E124" s="40" t="s">
        <v>17</v>
      </c>
      <c r="F124" s="40" t="s">
        <v>18</v>
      </c>
      <c r="G124" s="40" t="s">
        <v>22</v>
      </c>
      <c r="H124" s="40" t="s">
        <v>16</v>
      </c>
      <c r="I124" s="40">
        <v>3</v>
      </c>
      <c r="J124" s="40" t="s">
        <v>29</v>
      </c>
      <c r="K124" s="40" t="s">
        <v>47</v>
      </c>
      <c r="L124" s="40">
        <v>18</v>
      </c>
      <c r="M124" s="40">
        <f t="shared" si="2"/>
        <v>1</v>
      </c>
      <c r="N124" s="40">
        <f t="shared" si="3"/>
        <v>1</v>
      </c>
    </row>
    <row r="125" spans="1:14" ht="16" x14ac:dyDescent="0.2">
      <c r="A125" s="40">
        <v>124</v>
      </c>
      <c r="B125" s="40" t="s">
        <v>13</v>
      </c>
      <c r="C125" s="40">
        <v>4.8</v>
      </c>
      <c r="D125" s="40" t="s">
        <v>16</v>
      </c>
      <c r="E125" s="40" t="s">
        <v>17</v>
      </c>
      <c r="F125" s="40" t="s">
        <v>19</v>
      </c>
      <c r="G125" s="40" t="s">
        <v>23</v>
      </c>
      <c r="H125" s="40" t="s">
        <v>16</v>
      </c>
      <c r="I125" s="40">
        <v>3</v>
      </c>
      <c r="J125" s="40" t="s">
        <v>31</v>
      </c>
      <c r="K125" s="40" t="s">
        <v>45</v>
      </c>
      <c r="L125" s="40">
        <v>15</v>
      </c>
      <c r="M125" s="40">
        <f t="shared" si="2"/>
        <v>0</v>
      </c>
      <c r="N125" s="40">
        <f t="shared" si="3"/>
        <v>1</v>
      </c>
    </row>
    <row r="126" spans="1:14" ht="16" x14ac:dyDescent="0.2">
      <c r="A126" s="40">
        <v>125</v>
      </c>
      <c r="B126" s="40" t="s">
        <v>15</v>
      </c>
      <c r="C126" s="40">
        <v>6.4</v>
      </c>
      <c r="D126" s="40" t="s">
        <v>16</v>
      </c>
      <c r="E126" s="40" t="s">
        <v>17</v>
      </c>
      <c r="F126" s="40" t="s">
        <v>18</v>
      </c>
      <c r="G126" s="40" t="s">
        <v>23</v>
      </c>
      <c r="H126" s="40" t="s">
        <v>16</v>
      </c>
      <c r="I126" s="40">
        <v>4</v>
      </c>
      <c r="J126" s="40" t="s">
        <v>40</v>
      </c>
      <c r="K126" s="40" t="s">
        <v>46</v>
      </c>
      <c r="L126" s="40">
        <v>19</v>
      </c>
      <c r="M126" s="40">
        <f t="shared" si="2"/>
        <v>0</v>
      </c>
      <c r="N126" s="40">
        <f t="shared" si="3"/>
        <v>1</v>
      </c>
    </row>
    <row r="127" spans="1:14" ht="16" x14ac:dyDescent="0.2">
      <c r="A127" s="40">
        <v>126</v>
      </c>
      <c r="B127" s="40" t="s">
        <v>12</v>
      </c>
      <c r="C127" s="40">
        <v>7.8</v>
      </c>
      <c r="D127" s="40" t="s">
        <v>16</v>
      </c>
      <c r="E127" s="40" t="s">
        <v>16</v>
      </c>
      <c r="F127" s="40" t="s">
        <v>21</v>
      </c>
      <c r="G127" s="40" t="s">
        <v>23</v>
      </c>
      <c r="H127" s="40" t="s">
        <v>16</v>
      </c>
      <c r="I127" s="40">
        <v>5</v>
      </c>
      <c r="J127" s="40" t="s">
        <v>32</v>
      </c>
      <c r="K127" s="40" t="s">
        <v>45</v>
      </c>
      <c r="L127" s="40">
        <v>12</v>
      </c>
      <c r="M127" s="40">
        <f t="shared" si="2"/>
        <v>0</v>
      </c>
      <c r="N127" s="40">
        <f t="shared" si="3"/>
        <v>0</v>
      </c>
    </row>
    <row r="128" spans="1:14" ht="16" x14ac:dyDescent="0.2">
      <c r="A128" s="40">
        <v>127</v>
      </c>
      <c r="B128" s="40" t="s">
        <v>15</v>
      </c>
      <c r="C128" s="40">
        <v>6.3</v>
      </c>
      <c r="D128" s="40" t="s">
        <v>17</v>
      </c>
      <c r="E128" s="40" t="s">
        <v>17</v>
      </c>
      <c r="F128" s="40" t="s">
        <v>21</v>
      </c>
      <c r="G128" s="40" t="s">
        <v>24</v>
      </c>
      <c r="H128" s="40" t="s">
        <v>16</v>
      </c>
      <c r="I128" s="40">
        <v>4</v>
      </c>
      <c r="J128" s="40" t="s">
        <v>40</v>
      </c>
      <c r="K128" s="40" t="s">
        <v>45</v>
      </c>
      <c r="L128" s="40">
        <v>14</v>
      </c>
      <c r="M128" s="40">
        <f t="shared" si="2"/>
        <v>1</v>
      </c>
      <c r="N128" s="40">
        <f t="shared" si="3"/>
        <v>1</v>
      </c>
    </row>
    <row r="129" spans="1:14" ht="16" x14ac:dyDescent="0.2">
      <c r="A129" s="40">
        <v>128</v>
      </c>
      <c r="B129" s="40" t="s">
        <v>15</v>
      </c>
      <c r="C129" s="40">
        <v>9.9</v>
      </c>
      <c r="D129" s="40" t="s">
        <v>16</v>
      </c>
      <c r="E129" s="40" t="s">
        <v>17</v>
      </c>
      <c r="F129" s="40" t="s">
        <v>19</v>
      </c>
      <c r="G129" s="40" t="s">
        <v>23</v>
      </c>
      <c r="H129" s="40" t="s">
        <v>16</v>
      </c>
      <c r="I129" s="40">
        <v>3</v>
      </c>
      <c r="J129" s="40" t="s">
        <v>39</v>
      </c>
      <c r="K129" s="40" t="s">
        <v>46</v>
      </c>
      <c r="L129" s="40">
        <v>17</v>
      </c>
      <c r="M129" s="40">
        <f t="shared" si="2"/>
        <v>0</v>
      </c>
      <c r="N129" s="40">
        <f t="shared" si="3"/>
        <v>1</v>
      </c>
    </row>
    <row r="130" spans="1:14" ht="16" x14ac:dyDescent="0.2">
      <c r="A130" s="40">
        <v>129</v>
      </c>
      <c r="B130" s="40" t="s">
        <v>12</v>
      </c>
      <c r="C130" s="40">
        <v>16.600000000000001</v>
      </c>
      <c r="D130" s="40" t="s">
        <v>16</v>
      </c>
      <c r="E130" s="40" t="s">
        <v>17</v>
      </c>
      <c r="F130" s="40" t="s">
        <v>19</v>
      </c>
      <c r="G130" s="40" t="s">
        <v>22</v>
      </c>
      <c r="H130" s="40" t="s">
        <v>16</v>
      </c>
      <c r="I130" s="40">
        <v>5</v>
      </c>
      <c r="J130" s="40" t="s">
        <v>42</v>
      </c>
      <c r="K130" s="40" t="s">
        <v>46</v>
      </c>
      <c r="L130" s="40">
        <v>11</v>
      </c>
      <c r="M130" s="40">
        <f t="shared" ref="M130:M193" si="4">IF(D130="Yes",1,0)</f>
        <v>0</v>
      </c>
      <c r="N130" s="40">
        <f t="shared" ref="N130:N193" si="5">IF(E130="Yes",1,0)</f>
        <v>1</v>
      </c>
    </row>
    <row r="131" spans="1:14" ht="16" x14ac:dyDescent="0.2">
      <c r="A131" s="40">
        <v>130</v>
      </c>
      <c r="B131" s="40" t="s">
        <v>13</v>
      </c>
      <c r="C131" s="40">
        <v>16.8</v>
      </c>
      <c r="D131" s="40" t="s">
        <v>16</v>
      </c>
      <c r="E131" s="40" t="s">
        <v>16</v>
      </c>
      <c r="F131" s="40" t="s">
        <v>20</v>
      </c>
      <c r="G131" s="40" t="s">
        <v>23</v>
      </c>
      <c r="H131" s="40" t="s">
        <v>17</v>
      </c>
      <c r="I131" s="40">
        <v>5</v>
      </c>
      <c r="J131" s="40" t="s">
        <v>41</v>
      </c>
      <c r="K131" s="40" t="s">
        <v>47</v>
      </c>
      <c r="L131" s="40">
        <v>16</v>
      </c>
      <c r="M131" s="40">
        <f t="shared" si="4"/>
        <v>0</v>
      </c>
      <c r="N131" s="40">
        <f t="shared" si="5"/>
        <v>0</v>
      </c>
    </row>
    <row r="132" spans="1:14" ht="16" x14ac:dyDescent="0.2">
      <c r="A132" s="40">
        <v>131</v>
      </c>
      <c r="B132" s="40" t="s">
        <v>14</v>
      </c>
      <c r="C132" s="40">
        <v>5.0999999999999996</v>
      </c>
      <c r="D132" s="40" t="s">
        <v>17</v>
      </c>
      <c r="E132" s="40" t="s">
        <v>17</v>
      </c>
      <c r="F132" s="40" t="s">
        <v>21</v>
      </c>
      <c r="G132" s="40" t="s">
        <v>22</v>
      </c>
      <c r="H132" s="40" t="s">
        <v>16</v>
      </c>
      <c r="I132" s="40">
        <v>4</v>
      </c>
      <c r="J132" s="40" t="s">
        <v>30</v>
      </c>
      <c r="K132" s="40" t="s">
        <v>45</v>
      </c>
      <c r="L132" s="40">
        <v>10</v>
      </c>
      <c r="M132" s="40">
        <f t="shared" si="4"/>
        <v>1</v>
      </c>
      <c r="N132" s="40">
        <f t="shared" si="5"/>
        <v>1</v>
      </c>
    </row>
    <row r="133" spans="1:14" ht="16" x14ac:dyDescent="0.2">
      <c r="A133" s="40">
        <v>132</v>
      </c>
      <c r="B133" s="40" t="s">
        <v>12</v>
      </c>
      <c r="C133" s="40">
        <v>5</v>
      </c>
      <c r="D133" s="40" t="s">
        <v>16</v>
      </c>
      <c r="E133" s="40" t="s">
        <v>17</v>
      </c>
      <c r="F133" s="40" t="s">
        <v>18</v>
      </c>
      <c r="G133" s="40" t="s">
        <v>24</v>
      </c>
      <c r="H133" s="40" t="s">
        <v>16</v>
      </c>
      <c r="I133" s="40">
        <v>5</v>
      </c>
      <c r="J133" s="40" t="s">
        <v>34</v>
      </c>
      <c r="K133" s="40" t="s">
        <v>47</v>
      </c>
      <c r="L133" s="40">
        <v>9</v>
      </c>
      <c r="M133" s="40">
        <f t="shared" si="4"/>
        <v>0</v>
      </c>
      <c r="N133" s="40">
        <f t="shared" si="5"/>
        <v>1</v>
      </c>
    </row>
    <row r="134" spans="1:14" ht="16" x14ac:dyDescent="0.2">
      <c r="A134" s="40">
        <v>133</v>
      </c>
      <c r="B134" s="40" t="s">
        <v>13</v>
      </c>
      <c r="C134" s="40">
        <v>4.3</v>
      </c>
      <c r="D134" s="40" t="s">
        <v>16</v>
      </c>
      <c r="E134" s="40" t="s">
        <v>17</v>
      </c>
      <c r="F134" s="40" t="s">
        <v>18</v>
      </c>
      <c r="G134" s="40" t="s">
        <v>23</v>
      </c>
      <c r="H134" s="40" t="s">
        <v>16</v>
      </c>
      <c r="I134" s="40">
        <v>5</v>
      </c>
      <c r="J134" s="40" t="s">
        <v>27</v>
      </c>
      <c r="K134" s="40" t="s">
        <v>46</v>
      </c>
      <c r="L134" s="40">
        <v>15</v>
      </c>
      <c r="M134" s="40">
        <f t="shared" si="4"/>
        <v>0</v>
      </c>
      <c r="N134" s="40">
        <f t="shared" si="5"/>
        <v>1</v>
      </c>
    </row>
    <row r="135" spans="1:14" ht="16" x14ac:dyDescent="0.2">
      <c r="A135" s="40">
        <v>134</v>
      </c>
      <c r="B135" s="40" t="s">
        <v>12</v>
      </c>
      <c r="C135" s="40">
        <v>15</v>
      </c>
      <c r="D135" s="40" t="s">
        <v>16</v>
      </c>
      <c r="E135" s="40" t="s">
        <v>17</v>
      </c>
      <c r="F135" s="40" t="s">
        <v>18</v>
      </c>
      <c r="G135" s="40" t="s">
        <v>23</v>
      </c>
      <c r="H135" s="40" t="s">
        <v>16</v>
      </c>
      <c r="I135" s="40">
        <v>4</v>
      </c>
      <c r="J135" s="40" t="s">
        <v>30</v>
      </c>
      <c r="K135" s="40" t="s">
        <v>47</v>
      </c>
      <c r="L135" s="40">
        <v>11</v>
      </c>
      <c r="M135" s="40">
        <f t="shared" si="4"/>
        <v>0</v>
      </c>
      <c r="N135" s="40">
        <f t="shared" si="5"/>
        <v>1</v>
      </c>
    </row>
    <row r="136" spans="1:14" ht="16" x14ac:dyDescent="0.2">
      <c r="A136" s="40">
        <v>135</v>
      </c>
      <c r="B136" s="40" t="s">
        <v>15</v>
      </c>
      <c r="C136" s="40">
        <v>18.7</v>
      </c>
      <c r="D136" s="40" t="s">
        <v>16</v>
      </c>
      <c r="E136" s="40" t="s">
        <v>16</v>
      </c>
      <c r="F136" s="40" t="s">
        <v>20</v>
      </c>
      <c r="G136" s="40" t="s">
        <v>22</v>
      </c>
      <c r="H136" s="40" t="s">
        <v>16</v>
      </c>
      <c r="I136" s="40">
        <v>4</v>
      </c>
      <c r="J136" s="40" t="s">
        <v>30</v>
      </c>
      <c r="K136" s="40" t="s">
        <v>45</v>
      </c>
      <c r="L136" s="40">
        <v>9</v>
      </c>
      <c r="M136" s="40">
        <f t="shared" si="4"/>
        <v>0</v>
      </c>
      <c r="N136" s="40">
        <f t="shared" si="5"/>
        <v>0</v>
      </c>
    </row>
    <row r="137" spans="1:14" ht="16" x14ac:dyDescent="0.2">
      <c r="A137" s="40">
        <v>136</v>
      </c>
      <c r="B137" s="40" t="s">
        <v>14</v>
      </c>
      <c r="C137" s="40">
        <v>19.399999999999999</v>
      </c>
      <c r="D137" s="40" t="s">
        <v>16</v>
      </c>
      <c r="E137" s="40" t="s">
        <v>16</v>
      </c>
      <c r="F137" s="40" t="s">
        <v>20</v>
      </c>
      <c r="G137" s="40" t="s">
        <v>23</v>
      </c>
      <c r="H137" s="40" t="s">
        <v>17</v>
      </c>
      <c r="I137" s="40">
        <v>5</v>
      </c>
      <c r="J137" s="40" t="s">
        <v>39</v>
      </c>
      <c r="K137" s="40" t="s">
        <v>47</v>
      </c>
      <c r="L137" s="40">
        <v>18</v>
      </c>
      <c r="M137" s="40">
        <f t="shared" si="4"/>
        <v>0</v>
      </c>
      <c r="N137" s="40">
        <f t="shared" si="5"/>
        <v>0</v>
      </c>
    </row>
    <row r="138" spans="1:14" ht="16" x14ac:dyDescent="0.2">
      <c r="A138" s="40">
        <v>137</v>
      </c>
      <c r="B138" s="40" t="s">
        <v>12</v>
      </c>
      <c r="C138" s="40">
        <v>17.100000000000001</v>
      </c>
      <c r="D138" s="40" t="s">
        <v>16</v>
      </c>
      <c r="E138" s="40" t="s">
        <v>16</v>
      </c>
      <c r="F138" s="40" t="s">
        <v>19</v>
      </c>
      <c r="G138" s="40" t="s">
        <v>22</v>
      </c>
      <c r="H138" s="40" t="s">
        <v>16</v>
      </c>
      <c r="I138" s="40">
        <v>4</v>
      </c>
      <c r="J138" s="40" t="s">
        <v>30</v>
      </c>
      <c r="K138" s="40" t="s">
        <v>45</v>
      </c>
      <c r="L138" s="40">
        <v>17</v>
      </c>
      <c r="M138" s="40">
        <f t="shared" si="4"/>
        <v>0</v>
      </c>
      <c r="N138" s="40">
        <f t="shared" si="5"/>
        <v>0</v>
      </c>
    </row>
    <row r="139" spans="1:14" ht="16" x14ac:dyDescent="0.2">
      <c r="A139" s="40">
        <v>138</v>
      </c>
      <c r="B139" s="40" t="s">
        <v>15</v>
      </c>
      <c r="C139" s="40">
        <v>13.8</v>
      </c>
      <c r="D139" s="40" t="s">
        <v>16</v>
      </c>
      <c r="E139" s="40" t="s">
        <v>16</v>
      </c>
      <c r="F139" s="40" t="s">
        <v>21</v>
      </c>
      <c r="G139" s="40" t="s">
        <v>22</v>
      </c>
      <c r="H139" s="40" t="s">
        <v>17</v>
      </c>
      <c r="I139" s="40">
        <v>5</v>
      </c>
      <c r="J139" s="40" t="s">
        <v>30</v>
      </c>
      <c r="K139" s="40" t="s">
        <v>46</v>
      </c>
      <c r="L139" s="40">
        <v>14</v>
      </c>
      <c r="M139" s="40">
        <f t="shared" si="4"/>
        <v>0</v>
      </c>
      <c r="N139" s="40">
        <f t="shared" si="5"/>
        <v>0</v>
      </c>
    </row>
    <row r="140" spans="1:14" ht="16" x14ac:dyDescent="0.2">
      <c r="A140" s="40">
        <v>139</v>
      </c>
      <c r="B140" s="40" t="s">
        <v>15</v>
      </c>
      <c r="C140" s="40">
        <v>12.5</v>
      </c>
      <c r="D140" s="40" t="s">
        <v>16</v>
      </c>
      <c r="E140" s="40" t="s">
        <v>17</v>
      </c>
      <c r="F140" s="40" t="s">
        <v>21</v>
      </c>
      <c r="G140" s="40" t="s">
        <v>23</v>
      </c>
      <c r="H140" s="40" t="s">
        <v>16</v>
      </c>
      <c r="I140" s="40">
        <v>5</v>
      </c>
      <c r="J140" s="40" t="s">
        <v>44</v>
      </c>
      <c r="K140" s="40" t="s">
        <v>46</v>
      </c>
      <c r="L140" s="40">
        <v>9</v>
      </c>
      <c r="M140" s="40">
        <f t="shared" si="4"/>
        <v>0</v>
      </c>
      <c r="N140" s="40">
        <f t="shared" si="5"/>
        <v>1</v>
      </c>
    </row>
    <row r="141" spans="1:14" ht="16" x14ac:dyDescent="0.2">
      <c r="A141" s="40">
        <v>140</v>
      </c>
      <c r="B141" s="40" t="s">
        <v>14</v>
      </c>
      <c r="C141" s="40">
        <v>4.8</v>
      </c>
      <c r="D141" s="40" t="s">
        <v>17</v>
      </c>
      <c r="E141" s="40" t="s">
        <v>17</v>
      </c>
      <c r="F141" s="40" t="s">
        <v>21</v>
      </c>
      <c r="G141" s="40" t="s">
        <v>22</v>
      </c>
      <c r="H141" s="40" t="s">
        <v>16</v>
      </c>
      <c r="I141" s="40">
        <v>5</v>
      </c>
      <c r="J141" s="40" t="s">
        <v>28</v>
      </c>
      <c r="K141" s="40" t="s">
        <v>47</v>
      </c>
      <c r="L141" s="40">
        <v>9</v>
      </c>
      <c r="M141" s="40">
        <f t="shared" si="4"/>
        <v>1</v>
      </c>
      <c r="N141" s="40">
        <f t="shared" si="5"/>
        <v>1</v>
      </c>
    </row>
    <row r="142" spans="1:14" ht="16" x14ac:dyDescent="0.2">
      <c r="A142" s="40">
        <v>141</v>
      </c>
      <c r="B142" s="40" t="s">
        <v>12</v>
      </c>
      <c r="C142" s="40">
        <v>3.7</v>
      </c>
      <c r="D142" s="40" t="s">
        <v>16</v>
      </c>
      <c r="E142" s="40" t="s">
        <v>16</v>
      </c>
      <c r="F142" s="40" t="s">
        <v>18</v>
      </c>
      <c r="G142" s="40" t="s">
        <v>23</v>
      </c>
      <c r="H142" s="40" t="s">
        <v>17</v>
      </c>
      <c r="I142" s="40">
        <v>4</v>
      </c>
      <c r="J142" s="40" t="s">
        <v>37</v>
      </c>
      <c r="K142" s="40" t="s">
        <v>47</v>
      </c>
      <c r="L142" s="40">
        <v>13</v>
      </c>
      <c r="M142" s="40">
        <f t="shared" si="4"/>
        <v>0</v>
      </c>
      <c r="N142" s="40">
        <f t="shared" si="5"/>
        <v>0</v>
      </c>
    </row>
    <row r="143" spans="1:14" ht="16" x14ac:dyDescent="0.2">
      <c r="A143" s="40">
        <v>142</v>
      </c>
      <c r="B143" s="40" t="s">
        <v>12</v>
      </c>
      <c r="C143" s="40">
        <v>14.4</v>
      </c>
      <c r="D143" s="40" t="s">
        <v>16</v>
      </c>
      <c r="E143" s="40" t="s">
        <v>17</v>
      </c>
      <c r="F143" s="40" t="s">
        <v>20</v>
      </c>
      <c r="G143" s="40" t="s">
        <v>24</v>
      </c>
      <c r="H143" s="40" t="s">
        <v>17</v>
      </c>
      <c r="I143" s="40">
        <v>4</v>
      </c>
      <c r="J143" s="40" t="s">
        <v>39</v>
      </c>
      <c r="K143" s="40" t="s">
        <v>45</v>
      </c>
      <c r="L143" s="40">
        <v>18</v>
      </c>
      <c r="M143" s="40">
        <f t="shared" si="4"/>
        <v>0</v>
      </c>
      <c r="N143" s="40">
        <f t="shared" si="5"/>
        <v>1</v>
      </c>
    </row>
    <row r="144" spans="1:14" ht="16" x14ac:dyDescent="0.2">
      <c r="A144" s="40">
        <v>143</v>
      </c>
      <c r="B144" s="40" t="s">
        <v>12</v>
      </c>
      <c r="C144" s="40">
        <v>19.399999999999999</v>
      </c>
      <c r="D144" s="40" t="s">
        <v>16</v>
      </c>
      <c r="E144" s="40" t="s">
        <v>16</v>
      </c>
      <c r="F144" s="40" t="s">
        <v>19</v>
      </c>
      <c r="G144" s="40" t="s">
        <v>23</v>
      </c>
      <c r="H144" s="40" t="s">
        <v>17</v>
      </c>
      <c r="I144" s="40">
        <v>4</v>
      </c>
      <c r="J144" s="40" t="s">
        <v>36</v>
      </c>
      <c r="K144" s="40" t="s">
        <v>46</v>
      </c>
      <c r="L144" s="40">
        <v>9</v>
      </c>
      <c r="M144" s="40">
        <f t="shared" si="4"/>
        <v>0</v>
      </c>
      <c r="N144" s="40">
        <f t="shared" si="5"/>
        <v>0</v>
      </c>
    </row>
    <row r="145" spans="1:14" ht="16" x14ac:dyDescent="0.2">
      <c r="A145" s="40">
        <v>144</v>
      </c>
      <c r="B145" s="40" t="s">
        <v>14</v>
      </c>
      <c r="C145" s="40">
        <v>5.3</v>
      </c>
      <c r="D145" s="40" t="s">
        <v>16</v>
      </c>
      <c r="E145" s="40" t="s">
        <v>17</v>
      </c>
      <c r="F145" s="40" t="s">
        <v>21</v>
      </c>
      <c r="G145" s="40" t="s">
        <v>23</v>
      </c>
      <c r="H145" s="40" t="s">
        <v>16</v>
      </c>
      <c r="I145" s="40">
        <v>4</v>
      </c>
      <c r="J145" s="40" t="s">
        <v>35</v>
      </c>
      <c r="K145" s="40" t="s">
        <v>47</v>
      </c>
      <c r="L145" s="40">
        <v>18</v>
      </c>
      <c r="M145" s="40">
        <f t="shared" si="4"/>
        <v>0</v>
      </c>
      <c r="N145" s="40">
        <f t="shared" si="5"/>
        <v>1</v>
      </c>
    </row>
    <row r="146" spans="1:14" ht="16" x14ac:dyDescent="0.2">
      <c r="A146" s="40">
        <v>145</v>
      </c>
      <c r="B146" s="40" t="s">
        <v>12</v>
      </c>
      <c r="C146" s="40">
        <v>10.6</v>
      </c>
      <c r="D146" s="40" t="s">
        <v>16</v>
      </c>
      <c r="E146" s="40" t="s">
        <v>17</v>
      </c>
      <c r="F146" s="40" t="s">
        <v>19</v>
      </c>
      <c r="G146" s="40" t="s">
        <v>23</v>
      </c>
      <c r="H146" s="40" t="s">
        <v>16</v>
      </c>
      <c r="I146" s="40">
        <v>3</v>
      </c>
      <c r="J146" s="40" t="s">
        <v>26</v>
      </c>
      <c r="K146" s="40" t="s">
        <v>46</v>
      </c>
      <c r="L146" s="40">
        <v>16</v>
      </c>
      <c r="M146" s="40">
        <f t="shared" si="4"/>
        <v>0</v>
      </c>
      <c r="N146" s="40">
        <f t="shared" si="5"/>
        <v>1</v>
      </c>
    </row>
    <row r="147" spans="1:14" ht="16" x14ac:dyDescent="0.2">
      <c r="A147" s="40">
        <v>146</v>
      </c>
      <c r="B147" s="40" t="s">
        <v>15</v>
      </c>
      <c r="C147" s="40">
        <v>17.3</v>
      </c>
      <c r="D147" s="40" t="s">
        <v>16</v>
      </c>
      <c r="E147" s="40" t="s">
        <v>17</v>
      </c>
      <c r="F147" s="40" t="s">
        <v>18</v>
      </c>
      <c r="G147" s="40" t="s">
        <v>22</v>
      </c>
      <c r="H147" s="40" t="s">
        <v>16</v>
      </c>
      <c r="I147" s="40">
        <v>4</v>
      </c>
      <c r="J147" s="40" t="s">
        <v>31</v>
      </c>
      <c r="K147" s="40" t="s">
        <v>47</v>
      </c>
      <c r="L147" s="40">
        <v>18</v>
      </c>
      <c r="M147" s="40">
        <f t="shared" si="4"/>
        <v>0</v>
      </c>
      <c r="N147" s="40">
        <f t="shared" si="5"/>
        <v>1</v>
      </c>
    </row>
    <row r="148" spans="1:14" ht="16" x14ac:dyDescent="0.2">
      <c r="A148" s="40">
        <v>147</v>
      </c>
      <c r="B148" s="40" t="s">
        <v>12</v>
      </c>
      <c r="C148" s="40">
        <v>5.4</v>
      </c>
      <c r="D148" s="40" t="s">
        <v>16</v>
      </c>
      <c r="E148" s="40" t="s">
        <v>17</v>
      </c>
      <c r="F148" s="40" t="s">
        <v>18</v>
      </c>
      <c r="G148" s="40" t="s">
        <v>22</v>
      </c>
      <c r="H148" s="40" t="s">
        <v>16</v>
      </c>
      <c r="I148" s="40">
        <v>4</v>
      </c>
      <c r="J148" s="40" t="s">
        <v>36</v>
      </c>
      <c r="K148" s="40" t="s">
        <v>45</v>
      </c>
      <c r="L148" s="40">
        <v>9</v>
      </c>
      <c r="M148" s="40">
        <f t="shared" si="4"/>
        <v>0</v>
      </c>
      <c r="N148" s="40">
        <f t="shared" si="5"/>
        <v>1</v>
      </c>
    </row>
    <row r="149" spans="1:14" ht="16" x14ac:dyDescent="0.2">
      <c r="A149" s="40">
        <v>148</v>
      </c>
      <c r="B149" s="40" t="s">
        <v>13</v>
      </c>
      <c r="C149" s="40">
        <v>8.5</v>
      </c>
      <c r="D149" s="40" t="s">
        <v>16</v>
      </c>
      <c r="E149" s="40" t="s">
        <v>17</v>
      </c>
      <c r="F149" s="40" t="s">
        <v>21</v>
      </c>
      <c r="G149" s="40" t="s">
        <v>23</v>
      </c>
      <c r="H149" s="40" t="s">
        <v>16</v>
      </c>
      <c r="I149" s="40">
        <v>4</v>
      </c>
      <c r="J149" s="40" t="s">
        <v>32</v>
      </c>
      <c r="K149" s="40" t="s">
        <v>46</v>
      </c>
      <c r="L149" s="40">
        <v>19</v>
      </c>
      <c r="M149" s="40">
        <f t="shared" si="4"/>
        <v>0</v>
      </c>
      <c r="N149" s="40">
        <f t="shared" si="5"/>
        <v>1</v>
      </c>
    </row>
    <row r="150" spans="1:14" ht="16" x14ac:dyDescent="0.2">
      <c r="A150" s="40">
        <v>149</v>
      </c>
      <c r="B150" s="40" t="s">
        <v>12</v>
      </c>
      <c r="C150" s="40">
        <v>4.4000000000000004</v>
      </c>
      <c r="D150" s="40" t="s">
        <v>16</v>
      </c>
      <c r="E150" s="40" t="s">
        <v>16</v>
      </c>
      <c r="F150" s="40" t="s">
        <v>21</v>
      </c>
      <c r="G150" s="40" t="s">
        <v>24</v>
      </c>
      <c r="H150" s="40" t="s">
        <v>16</v>
      </c>
      <c r="I150" s="40">
        <v>4</v>
      </c>
      <c r="J150" s="40" t="s">
        <v>33</v>
      </c>
      <c r="K150" s="40" t="s">
        <v>46</v>
      </c>
      <c r="L150" s="40">
        <v>18</v>
      </c>
      <c r="M150" s="40">
        <f t="shared" si="4"/>
        <v>0</v>
      </c>
      <c r="N150" s="40">
        <f t="shared" si="5"/>
        <v>0</v>
      </c>
    </row>
    <row r="151" spans="1:14" ht="16" x14ac:dyDescent="0.2">
      <c r="A151" s="40">
        <v>150</v>
      </c>
      <c r="B151" s="40" t="s">
        <v>12</v>
      </c>
      <c r="C151" s="40">
        <v>2.2999999999999998</v>
      </c>
      <c r="D151" s="40" t="s">
        <v>16</v>
      </c>
      <c r="E151" s="40" t="s">
        <v>17</v>
      </c>
      <c r="F151" s="40" t="s">
        <v>20</v>
      </c>
      <c r="G151" s="40" t="s">
        <v>23</v>
      </c>
      <c r="H151" s="40" t="s">
        <v>16</v>
      </c>
      <c r="I151" s="40">
        <v>2</v>
      </c>
      <c r="J151" s="40" t="s">
        <v>34</v>
      </c>
      <c r="K151" s="40" t="s">
        <v>47</v>
      </c>
      <c r="L151" s="40">
        <v>12</v>
      </c>
      <c r="M151" s="40">
        <f t="shared" si="4"/>
        <v>0</v>
      </c>
      <c r="N151" s="40">
        <f t="shared" si="5"/>
        <v>1</v>
      </c>
    </row>
    <row r="152" spans="1:14" ht="16" x14ac:dyDescent="0.2">
      <c r="A152" s="40">
        <v>151</v>
      </c>
      <c r="B152" s="40" t="s">
        <v>15</v>
      </c>
      <c r="C152" s="40">
        <v>10</v>
      </c>
      <c r="D152" s="40" t="s">
        <v>16</v>
      </c>
      <c r="E152" s="40" t="s">
        <v>17</v>
      </c>
      <c r="F152" s="40" t="s">
        <v>18</v>
      </c>
      <c r="G152" s="40" t="s">
        <v>23</v>
      </c>
      <c r="H152" s="40" t="s">
        <v>16</v>
      </c>
      <c r="I152" s="40">
        <v>4</v>
      </c>
      <c r="J152" s="40" t="s">
        <v>43</v>
      </c>
      <c r="K152" s="40" t="s">
        <v>45</v>
      </c>
      <c r="L152" s="40">
        <v>18</v>
      </c>
      <c r="M152" s="40">
        <f t="shared" si="4"/>
        <v>0</v>
      </c>
      <c r="N152" s="40">
        <f t="shared" si="5"/>
        <v>1</v>
      </c>
    </row>
    <row r="153" spans="1:14" ht="16" x14ac:dyDescent="0.2">
      <c r="A153" s="40">
        <v>152</v>
      </c>
      <c r="B153" s="40" t="s">
        <v>12</v>
      </c>
      <c r="C153" s="40">
        <v>16.7</v>
      </c>
      <c r="D153" s="40" t="s">
        <v>16</v>
      </c>
      <c r="E153" s="40" t="s">
        <v>16</v>
      </c>
      <c r="F153" s="40" t="s">
        <v>20</v>
      </c>
      <c r="G153" s="40" t="s">
        <v>23</v>
      </c>
      <c r="H153" s="40" t="s">
        <v>16</v>
      </c>
      <c r="I153" s="40">
        <v>5</v>
      </c>
      <c r="J153" s="40" t="s">
        <v>29</v>
      </c>
      <c r="K153" s="40" t="s">
        <v>46</v>
      </c>
      <c r="L153" s="40">
        <v>10</v>
      </c>
      <c r="M153" s="40">
        <f t="shared" si="4"/>
        <v>0</v>
      </c>
      <c r="N153" s="40">
        <f t="shared" si="5"/>
        <v>0</v>
      </c>
    </row>
    <row r="154" spans="1:14" ht="16" x14ac:dyDescent="0.2">
      <c r="A154" s="40">
        <v>153</v>
      </c>
      <c r="B154" s="40" t="s">
        <v>15</v>
      </c>
      <c r="C154" s="40">
        <v>16.8</v>
      </c>
      <c r="D154" s="40" t="s">
        <v>16</v>
      </c>
      <c r="E154" s="40" t="s">
        <v>17</v>
      </c>
      <c r="F154" s="40" t="s">
        <v>21</v>
      </c>
      <c r="G154" s="40" t="s">
        <v>22</v>
      </c>
      <c r="H154" s="40" t="s">
        <v>17</v>
      </c>
      <c r="I154" s="40">
        <v>4</v>
      </c>
      <c r="J154" s="40" t="s">
        <v>41</v>
      </c>
      <c r="K154" s="40" t="s">
        <v>47</v>
      </c>
      <c r="L154" s="40">
        <v>8</v>
      </c>
      <c r="M154" s="40">
        <f t="shared" si="4"/>
        <v>0</v>
      </c>
      <c r="N154" s="40">
        <f t="shared" si="5"/>
        <v>1</v>
      </c>
    </row>
    <row r="155" spans="1:14" ht="16" x14ac:dyDescent="0.2">
      <c r="A155" s="40">
        <v>154</v>
      </c>
      <c r="B155" s="40" t="s">
        <v>13</v>
      </c>
      <c r="C155" s="40">
        <v>8.8000000000000007</v>
      </c>
      <c r="D155" s="40" t="s">
        <v>16</v>
      </c>
      <c r="E155" s="40" t="s">
        <v>16</v>
      </c>
      <c r="F155" s="40" t="s">
        <v>19</v>
      </c>
      <c r="G155" s="40" t="s">
        <v>22</v>
      </c>
      <c r="H155" s="40" t="s">
        <v>16</v>
      </c>
      <c r="I155" s="40">
        <v>5</v>
      </c>
      <c r="J155" s="40" t="s">
        <v>29</v>
      </c>
      <c r="K155" s="40" t="s">
        <v>45</v>
      </c>
      <c r="L155" s="40">
        <v>9</v>
      </c>
      <c r="M155" s="40">
        <f t="shared" si="4"/>
        <v>0</v>
      </c>
      <c r="N155" s="40">
        <f t="shared" si="5"/>
        <v>0</v>
      </c>
    </row>
    <row r="156" spans="1:14" ht="16" x14ac:dyDescent="0.2">
      <c r="A156" s="40">
        <v>155</v>
      </c>
      <c r="B156" s="40" t="s">
        <v>12</v>
      </c>
      <c r="C156" s="40">
        <v>14.3</v>
      </c>
      <c r="D156" s="40" t="s">
        <v>16</v>
      </c>
      <c r="E156" s="40" t="s">
        <v>16</v>
      </c>
      <c r="F156" s="40" t="s">
        <v>19</v>
      </c>
      <c r="G156" s="40" t="s">
        <v>23</v>
      </c>
      <c r="H156" s="40" t="s">
        <v>16</v>
      </c>
      <c r="I156" s="40">
        <v>4</v>
      </c>
      <c r="J156" s="40" t="s">
        <v>41</v>
      </c>
      <c r="K156" s="40" t="s">
        <v>47</v>
      </c>
      <c r="L156" s="40">
        <v>8</v>
      </c>
      <c r="M156" s="40">
        <f t="shared" si="4"/>
        <v>0</v>
      </c>
      <c r="N156" s="40">
        <f t="shared" si="5"/>
        <v>0</v>
      </c>
    </row>
    <row r="157" spans="1:14" ht="16" x14ac:dyDescent="0.2">
      <c r="A157" s="40">
        <v>156</v>
      </c>
      <c r="B157" s="40" t="s">
        <v>14</v>
      </c>
      <c r="C157" s="40">
        <v>15.5</v>
      </c>
      <c r="D157" s="40" t="s">
        <v>16</v>
      </c>
      <c r="E157" s="40" t="s">
        <v>17</v>
      </c>
      <c r="F157" s="40" t="s">
        <v>19</v>
      </c>
      <c r="G157" s="40" t="s">
        <v>22</v>
      </c>
      <c r="H157" s="40" t="s">
        <v>16</v>
      </c>
      <c r="I157" s="40">
        <v>4</v>
      </c>
      <c r="J157" s="40" t="s">
        <v>37</v>
      </c>
      <c r="K157" s="40" t="s">
        <v>47</v>
      </c>
      <c r="L157" s="40">
        <v>13</v>
      </c>
      <c r="M157" s="40">
        <f t="shared" si="4"/>
        <v>0</v>
      </c>
      <c r="N157" s="40">
        <f t="shared" si="5"/>
        <v>1</v>
      </c>
    </row>
    <row r="158" spans="1:14" ht="16" x14ac:dyDescent="0.2">
      <c r="A158" s="40">
        <v>157</v>
      </c>
      <c r="B158" s="40" t="s">
        <v>14</v>
      </c>
      <c r="C158" s="40">
        <v>6.7</v>
      </c>
      <c r="D158" s="40" t="s">
        <v>16</v>
      </c>
      <c r="E158" s="40" t="s">
        <v>17</v>
      </c>
      <c r="F158" s="40" t="s">
        <v>20</v>
      </c>
      <c r="G158" s="40" t="s">
        <v>23</v>
      </c>
      <c r="H158" s="40" t="s">
        <v>17</v>
      </c>
      <c r="I158" s="40">
        <v>3</v>
      </c>
      <c r="J158" s="40" t="s">
        <v>29</v>
      </c>
      <c r="K158" s="40" t="s">
        <v>46</v>
      </c>
      <c r="L158" s="40">
        <v>13</v>
      </c>
      <c r="M158" s="40">
        <f t="shared" si="4"/>
        <v>0</v>
      </c>
      <c r="N158" s="40">
        <f t="shared" si="5"/>
        <v>1</v>
      </c>
    </row>
    <row r="159" spans="1:14" ht="16" x14ac:dyDescent="0.2">
      <c r="A159" s="40">
        <v>158</v>
      </c>
      <c r="B159" s="40" t="s">
        <v>12</v>
      </c>
      <c r="C159" s="40">
        <v>4.9000000000000004</v>
      </c>
      <c r="D159" s="40" t="s">
        <v>16</v>
      </c>
      <c r="E159" s="40" t="s">
        <v>17</v>
      </c>
      <c r="F159" s="40" t="s">
        <v>20</v>
      </c>
      <c r="G159" s="40" t="s">
        <v>23</v>
      </c>
      <c r="H159" s="40" t="s">
        <v>16</v>
      </c>
      <c r="I159" s="40">
        <v>4</v>
      </c>
      <c r="J159" s="40" t="s">
        <v>44</v>
      </c>
      <c r="K159" s="40" t="s">
        <v>47</v>
      </c>
      <c r="L159" s="40">
        <v>19</v>
      </c>
      <c r="M159" s="40">
        <f t="shared" si="4"/>
        <v>0</v>
      </c>
      <c r="N159" s="40">
        <f t="shared" si="5"/>
        <v>1</v>
      </c>
    </row>
    <row r="160" spans="1:14" ht="16" x14ac:dyDescent="0.2">
      <c r="A160" s="40">
        <v>159</v>
      </c>
      <c r="B160" s="40" t="s">
        <v>14</v>
      </c>
      <c r="C160" s="40">
        <v>16.3</v>
      </c>
      <c r="D160" s="40" t="s">
        <v>17</v>
      </c>
      <c r="E160" s="40" t="s">
        <v>16</v>
      </c>
      <c r="F160" s="40" t="s">
        <v>18</v>
      </c>
      <c r="G160" s="40" t="s">
        <v>23</v>
      </c>
      <c r="H160" s="40" t="s">
        <v>16</v>
      </c>
      <c r="I160" s="40">
        <v>5</v>
      </c>
      <c r="J160" s="40" t="s">
        <v>27</v>
      </c>
      <c r="K160" s="40" t="s">
        <v>47</v>
      </c>
      <c r="L160" s="40">
        <v>11</v>
      </c>
      <c r="M160" s="40">
        <f t="shared" si="4"/>
        <v>1</v>
      </c>
      <c r="N160" s="40">
        <f t="shared" si="5"/>
        <v>0</v>
      </c>
    </row>
    <row r="161" spans="1:14" ht="16" x14ac:dyDescent="0.2">
      <c r="A161" s="40">
        <v>160</v>
      </c>
      <c r="B161" s="40" t="s">
        <v>14</v>
      </c>
      <c r="C161" s="40">
        <v>3.5</v>
      </c>
      <c r="D161" s="40" t="s">
        <v>16</v>
      </c>
      <c r="E161" s="40" t="s">
        <v>17</v>
      </c>
      <c r="F161" s="40" t="s">
        <v>20</v>
      </c>
      <c r="G161" s="40" t="s">
        <v>23</v>
      </c>
      <c r="H161" s="40" t="s">
        <v>17</v>
      </c>
      <c r="I161" s="40">
        <v>4</v>
      </c>
      <c r="J161" s="40" t="s">
        <v>29</v>
      </c>
      <c r="K161" s="40" t="s">
        <v>45</v>
      </c>
      <c r="L161" s="40">
        <v>13</v>
      </c>
      <c r="M161" s="40">
        <f t="shared" si="4"/>
        <v>0</v>
      </c>
      <c r="N161" s="40">
        <f t="shared" si="5"/>
        <v>1</v>
      </c>
    </row>
    <row r="162" spans="1:14" ht="16" x14ac:dyDescent="0.2">
      <c r="A162" s="40">
        <v>161</v>
      </c>
      <c r="B162" s="40" t="s">
        <v>12</v>
      </c>
      <c r="C162" s="40">
        <v>9.9</v>
      </c>
      <c r="D162" s="40" t="s">
        <v>16</v>
      </c>
      <c r="E162" s="40" t="s">
        <v>16</v>
      </c>
      <c r="F162" s="40" t="s">
        <v>19</v>
      </c>
      <c r="G162" s="40" t="s">
        <v>22</v>
      </c>
      <c r="H162" s="40" t="s">
        <v>16</v>
      </c>
      <c r="I162" s="40">
        <v>4</v>
      </c>
      <c r="J162" s="40" t="s">
        <v>31</v>
      </c>
      <c r="K162" s="40" t="s">
        <v>45</v>
      </c>
      <c r="L162" s="40">
        <v>8</v>
      </c>
      <c r="M162" s="40">
        <f t="shared" si="4"/>
        <v>0</v>
      </c>
      <c r="N162" s="40">
        <f t="shared" si="5"/>
        <v>0</v>
      </c>
    </row>
    <row r="163" spans="1:14" ht="16" x14ac:dyDescent="0.2">
      <c r="A163" s="40">
        <v>162</v>
      </c>
      <c r="B163" s="40" t="s">
        <v>14</v>
      </c>
      <c r="C163" s="40">
        <v>8.1</v>
      </c>
      <c r="D163" s="40" t="s">
        <v>17</v>
      </c>
      <c r="E163" s="40" t="s">
        <v>16</v>
      </c>
      <c r="F163" s="40" t="s">
        <v>21</v>
      </c>
      <c r="G163" s="40" t="s">
        <v>24</v>
      </c>
      <c r="H163" s="40" t="s">
        <v>17</v>
      </c>
      <c r="I163" s="40">
        <v>3</v>
      </c>
      <c r="J163" s="40" t="s">
        <v>42</v>
      </c>
      <c r="K163" s="40" t="s">
        <v>46</v>
      </c>
      <c r="L163" s="40">
        <v>16</v>
      </c>
      <c r="M163" s="40">
        <f t="shared" si="4"/>
        <v>1</v>
      </c>
      <c r="N163" s="40">
        <f t="shared" si="5"/>
        <v>0</v>
      </c>
    </row>
    <row r="164" spans="1:14" ht="16" x14ac:dyDescent="0.2">
      <c r="A164" s="40">
        <v>163</v>
      </c>
      <c r="B164" s="40" t="s">
        <v>14</v>
      </c>
      <c r="C164" s="40">
        <v>16.7</v>
      </c>
      <c r="D164" s="40" t="s">
        <v>16</v>
      </c>
      <c r="E164" s="40" t="s">
        <v>17</v>
      </c>
      <c r="F164" s="40" t="s">
        <v>19</v>
      </c>
      <c r="G164" s="40" t="s">
        <v>23</v>
      </c>
      <c r="H164" s="40" t="s">
        <v>16</v>
      </c>
      <c r="I164" s="40">
        <v>4</v>
      </c>
      <c r="J164" s="40" t="s">
        <v>42</v>
      </c>
      <c r="K164" s="40" t="s">
        <v>47</v>
      </c>
      <c r="L164" s="40">
        <v>15</v>
      </c>
      <c r="M164" s="40">
        <f t="shared" si="4"/>
        <v>0</v>
      </c>
      <c r="N164" s="40">
        <f t="shared" si="5"/>
        <v>1</v>
      </c>
    </row>
    <row r="165" spans="1:14" ht="16" x14ac:dyDescent="0.2">
      <c r="A165" s="40">
        <v>164</v>
      </c>
      <c r="B165" s="40" t="s">
        <v>15</v>
      </c>
      <c r="C165" s="40">
        <v>3.8</v>
      </c>
      <c r="D165" s="40" t="s">
        <v>16</v>
      </c>
      <c r="E165" s="40" t="s">
        <v>16</v>
      </c>
      <c r="F165" s="40" t="s">
        <v>21</v>
      </c>
      <c r="G165" s="40" t="s">
        <v>22</v>
      </c>
      <c r="H165" s="40" t="s">
        <v>16</v>
      </c>
      <c r="I165" s="40">
        <v>3</v>
      </c>
      <c r="J165" s="40" t="s">
        <v>25</v>
      </c>
      <c r="K165" s="40" t="s">
        <v>46</v>
      </c>
      <c r="L165" s="40">
        <v>17</v>
      </c>
      <c r="M165" s="40">
        <f t="shared" si="4"/>
        <v>0</v>
      </c>
      <c r="N165" s="40">
        <f t="shared" si="5"/>
        <v>0</v>
      </c>
    </row>
    <row r="166" spans="1:14" ht="16" x14ac:dyDescent="0.2">
      <c r="A166" s="40">
        <v>165</v>
      </c>
      <c r="B166" s="40" t="s">
        <v>12</v>
      </c>
      <c r="C166" s="40">
        <v>17.100000000000001</v>
      </c>
      <c r="D166" s="40" t="s">
        <v>16</v>
      </c>
      <c r="E166" s="40" t="s">
        <v>16</v>
      </c>
      <c r="F166" s="40" t="s">
        <v>21</v>
      </c>
      <c r="G166" s="40" t="s">
        <v>23</v>
      </c>
      <c r="H166" s="40" t="s">
        <v>16</v>
      </c>
      <c r="I166" s="40">
        <v>5</v>
      </c>
      <c r="J166" s="40" t="s">
        <v>39</v>
      </c>
      <c r="K166" s="40" t="s">
        <v>47</v>
      </c>
      <c r="L166" s="40">
        <v>10</v>
      </c>
      <c r="M166" s="40">
        <f t="shared" si="4"/>
        <v>0</v>
      </c>
      <c r="N166" s="40">
        <f t="shared" si="5"/>
        <v>0</v>
      </c>
    </row>
    <row r="167" spans="1:14" ht="16" x14ac:dyDescent="0.2">
      <c r="A167" s="40">
        <v>166</v>
      </c>
      <c r="B167" s="40" t="s">
        <v>13</v>
      </c>
      <c r="C167" s="40">
        <v>11</v>
      </c>
      <c r="D167" s="40" t="s">
        <v>16</v>
      </c>
      <c r="E167" s="40" t="s">
        <v>17</v>
      </c>
      <c r="F167" s="40" t="s">
        <v>21</v>
      </c>
      <c r="G167" s="40" t="s">
        <v>23</v>
      </c>
      <c r="H167" s="40" t="s">
        <v>16</v>
      </c>
      <c r="I167" s="40">
        <v>4</v>
      </c>
      <c r="J167" s="40" t="s">
        <v>31</v>
      </c>
      <c r="K167" s="40" t="s">
        <v>45</v>
      </c>
      <c r="L167" s="40">
        <v>15</v>
      </c>
      <c r="M167" s="40">
        <f t="shared" si="4"/>
        <v>0</v>
      </c>
      <c r="N167" s="40">
        <f t="shared" si="5"/>
        <v>1</v>
      </c>
    </row>
    <row r="168" spans="1:14" ht="16" x14ac:dyDescent="0.2">
      <c r="A168" s="40">
        <v>167</v>
      </c>
      <c r="B168" s="40" t="s">
        <v>15</v>
      </c>
      <c r="C168" s="40">
        <v>15.4</v>
      </c>
      <c r="D168" s="40" t="s">
        <v>17</v>
      </c>
      <c r="E168" s="40" t="s">
        <v>17</v>
      </c>
      <c r="F168" s="40" t="s">
        <v>18</v>
      </c>
      <c r="G168" s="40" t="s">
        <v>23</v>
      </c>
      <c r="H168" s="40" t="s">
        <v>17</v>
      </c>
      <c r="I168" s="40">
        <v>4</v>
      </c>
      <c r="J168" s="40" t="s">
        <v>41</v>
      </c>
      <c r="K168" s="40" t="s">
        <v>47</v>
      </c>
      <c r="L168" s="40">
        <v>18</v>
      </c>
      <c r="M168" s="40">
        <f t="shared" si="4"/>
        <v>1</v>
      </c>
      <c r="N168" s="40">
        <f t="shared" si="5"/>
        <v>1</v>
      </c>
    </row>
    <row r="169" spans="1:14" ht="16" x14ac:dyDescent="0.2">
      <c r="A169" s="40">
        <v>168</v>
      </c>
      <c r="B169" s="40" t="s">
        <v>13</v>
      </c>
      <c r="C169" s="40">
        <v>5.4</v>
      </c>
      <c r="D169" s="40" t="s">
        <v>16</v>
      </c>
      <c r="E169" s="40" t="s">
        <v>17</v>
      </c>
      <c r="F169" s="40" t="s">
        <v>19</v>
      </c>
      <c r="G169" s="40" t="s">
        <v>22</v>
      </c>
      <c r="H169" s="40" t="s">
        <v>16</v>
      </c>
      <c r="I169" s="40">
        <v>4</v>
      </c>
      <c r="J169" s="40" t="s">
        <v>42</v>
      </c>
      <c r="K169" s="40" t="s">
        <v>47</v>
      </c>
      <c r="L169" s="40">
        <v>19</v>
      </c>
      <c r="M169" s="40">
        <f t="shared" si="4"/>
        <v>0</v>
      </c>
      <c r="N169" s="40">
        <f t="shared" si="5"/>
        <v>1</v>
      </c>
    </row>
    <row r="170" spans="1:14" ht="16" x14ac:dyDescent="0.2">
      <c r="A170" s="40">
        <v>169</v>
      </c>
      <c r="B170" s="40" t="s">
        <v>15</v>
      </c>
      <c r="C170" s="40">
        <v>15.7</v>
      </c>
      <c r="D170" s="40" t="s">
        <v>16</v>
      </c>
      <c r="E170" s="40" t="s">
        <v>16</v>
      </c>
      <c r="F170" s="40" t="s">
        <v>19</v>
      </c>
      <c r="G170" s="40" t="s">
        <v>22</v>
      </c>
      <c r="H170" s="40" t="s">
        <v>16</v>
      </c>
      <c r="I170" s="40">
        <v>2</v>
      </c>
      <c r="J170" s="40" t="s">
        <v>44</v>
      </c>
      <c r="K170" s="40" t="s">
        <v>45</v>
      </c>
      <c r="L170" s="40">
        <v>16</v>
      </c>
      <c r="M170" s="40">
        <f t="shared" si="4"/>
        <v>0</v>
      </c>
      <c r="N170" s="40">
        <f t="shared" si="5"/>
        <v>0</v>
      </c>
    </row>
    <row r="171" spans="1:14" ht="16" x14ac:dyDescent="0.2">
      <c r="A171" s="40">
        <v>170</v>
      </c>
      <c r="B171" s="40" t="s">
        <v>15</v>
      </c>
      <c r="C171" s="40">
        <v>19.5</v>
      </c>
      <c r="D171" s="40" t="s">
        <v>17</v>
      </c>
      <c r="E171" s="40" t="s">
        <v>17</v>
      </c>
      <c r="F171" s="40" t="s">
        <v>19</v>
      </c>
      <c r="G171" s="40" t="s">
        <v>23</v>
      </c>
      <c r="H171" s="40" t="s">
        <v>17</v>
      </c>
      <c r="I171" s="40">
        <v>3</v>
      </c>
      <c r="J171" s="40" t="s">
        <v>38</v>
      </c>
      <c r="K171" s="40" t="s">
        <v>47</v>
      </c>
      <c r="L171" s="40">
        <v>14</v>
      </c>
      <c r="M171" s="40">
        <f t="shared" si="4"/>
        <v>1</v>
      </c>
      <c r="N171" s="40">
        <f t="shared" si="5"/>
        <v>1</v>
      </c>
    </row>
    <row r="172" spans="1:14" ht="16" x14ac:dyDescent="0.2">
      <c r="A172" s="40">
        <v>171</v>
      </c>
      <c r="B172" s="40" t="s">
        <v>12</v>
      </c>
      <c r="C172" s="40">
        <v>8.4</v>
      </c>
      <c r="D172" s="40" t="s">
        <v>16</v>
      </c>
      <c r="E172" s="40" t="s">
        <v>17</v>
      </c>
      <c r="F172" s="40" t="s">
        <v>20</v>
      </c>
      <c r="G172" s="40" t="s">
        <v>23</v>
      </c>
      <c r="H172" s="40" t="s">
        <v>16</v>
      </c>
      <c r="I172" s="40">
        <v>4</v>
      </c>
      <c r="J172" s="40" t="s">
        <v>28</v>
      </c>
      <c r="K172" s="40" t="s">
        <v>45</v>
      </c>
      <c r="L172" s="40">
        <v>13</v>
      </c>
      <c r="M172" s="40">
        <f t="shared" si="4"/>
        <v>0</v>
      </c>
      <c r="N172" s="40">
        <f t="shared" si="5"/>
        <v>1</v>
      </c>
    </row>
    <row r="173" spans="1:14" ht="16" x14ac:dyDescent="0.2">
      <c r="A173" s="40">
        <v>172</v>
      </c>
      <c r="B173" s="40" t="s">
        <v>12</v>
      </c>
      <c r="C173" s="40">
        <v>16.100000000000001</v>
      </c>
      <c r="D173" s="40" t="s">
        <v>16</v>
      </c>
      <c r="E173" s="40" t="s">
        <v>17</v>
      </c>
      <c r="F173" s="40" t="s">
        <v>18</v>
      </c>
      <c r="G173" s="40" t="s">
        <v>22</v>
      </c>
      <c r="H173" s="40" t="s">
        <v>17</v>
      </c>
      <c r="I173" s="40">
        <v>4</v>
      </c>
      <c r="J173" s="40" t="s">
        <v>27</v>
      </c>
      <c r="K173" s="40" t="s">
        <v>47</v>
      </c>
      <c r="L173" s="40">
        <v>8</v>
      </c>
      <c r="M173" s="40">
        <f t="shared" si="4"/>
        <v>0</v>
      </c>
      <c r="N173" s="40">
        <f t="shared" si="5"/>
        <v>1</v>
      </c>
    </row>
    <row r="174" spans="1:14" ht="16" x14ac:dyDescent="0.2">
      <c r="A174" s="40">
        <v>173</v>
      </c>
      <c r="B174" s="40" t="s">
        <v>15</v>
      </c>
      <c r="C174" s="40">
        <v>7.9</v>
      </c>
      <c r="D174" s="40" t="s">
        <v>16</v>
      </c>
      <c r="E174" s="40" t="s">
        <v>16</v>
      </c>
      <c r="F174" s="40" t="s">
        <v>19</v>
      </c>
      <c r="G174" s="40" t="s">
        <v>23</v>
      </c>
      <c r="H174" s="40" t="s">
        <v>16</v>
      </c>
      <c r="I174" s="40">
        <v>4</v>
      </c>
      <c r="J174" s="40" t="s">
        <v>40</v>
      </c>
      <c r="K174" s="40" t="s">
        <v>47</v>
      </c>
      <c r="L174" s="40">
        <v>19</v>
      </c>
      <c r="M174" s="40">
        <f t="shared" si="4"/>
        <v>0</v>
      </c>
      <c r="N174" s="40">
        <f t="shared" si="5"/>
        <v>0</v>
      </c>
    </row>
    <row r="175" spans="1:14" ht="16" x14ac:dyDescent="0.2">
      <c r="A175" s="40">
        <v>174</v>
      </c>
      <c r="B175" s="40" t="s">
        <v>12</v>
      </c>
      <c r="C175" s="40">
        <v>12.3</v>
      </c>
      <c r="D175" s="40" t="s">
        <v>16</v>
      </c>
      <c r="E175" s="40" t="s">
        <v>17</v>
      </c>
      <c r="F175" s="40" t="s">
        <v>20</v>
      </c>
      <c r="G175" s="40" t="s">
        <v>22</v>
      </c>
      <c r="H175" s="40" t="s">
        <v>16</v>
      </c>
      <c r="I175" s="40">
        <v>5</v>
      </c>
      <c r="J175" s="40" t="s">
        <v>33</v>
      </c>
      <c r="K175" s="40" t="s">
        <v>46</v>
      </c>
      <c r="L175" s="40">
        <v>19</v>
      </c>
      <c r="M175" s="40">
        <f t="shared" si="4"/>
        <v>0</v>
      </c>
      <c r="N175" s="40">
        <f t="shared" si="5"/>
        <v>1</v>
      </c>
    </row>
    <row r="176" spans="1:14" ht="16" x14ac:dyDescent="0.2">
      <c r="A176" s="40">
        <v>175</v>
      </c>
      <c r="B176" s="40" t="s">
        <v>13</v>
      </c>
      <c r="C176" s="40">
        <v>19.5</v>
      </c>
      <c r="D176" s="40" t="s">
        <v>16</v>
      </c>
      <c r="E176" s="40" t="s">
        <v>17</v>
      </c>
      <c r="F176" s="40" t="s">
        <v>21</v>
      </c>
      <c r="G176" s="40" t="s">
        <v>22</v>
      </c>
      <c r="H176" s="40" t="s">
        <v>16</v>
      </c>
      <c r="I176" s="40">
        <v>5</v>
      </c>
      <c r="J176" s="40" t="s">
        <v>38</v>
      </c>
      <c r="K176" s="40" t="s">
        <v>45</v>
      </c>
      <c r="L176" s="40">
        <v>16</v>
      </c>
      <c r="M176" s="40">
        <f t="shared" si="4"/>
        <v>0</v>
      </c>
      <c r="N176" s="40">
        <f t="shared" si="5"/>
        <v>1</v>
      </c>
    </row>
    <row r="177" spans="1:14" ht="16" x14ac:dyDescent="0.2">
      <c r="A177" s="40">
        <v>176</v>
      </c>
      <c r="B177" s="40" t="s">
        <v>13</v>
      </c>
      <c r="C177" s="40">
        <v>16.5</v>
      </c>
      <c r="D177" s="40" t="s">
        <v>16</v>
      </c>
      <c r="E177" s="40" t="s">
        <v>17</v>
      </c>
      <c r="F177" s="40" t="s">
        <v>21</v>
      </c>
      <c r="G177" s="40" t="s">
        <v>23</v>
      </c>
      <c r="H177" s="40" t="s">
        <v>16</v>
      </c>
      <c r="I177" s="40">
        <v>5</v>
      </c>
      <c r="J177" s="40" t="s">
        <v>31</v>
      </c>
      <c r="K177" s="40" t="s">
        <v>47</v>
      </c>
      <c r="L177" s="40">
        <v>10</v>
      </c>
      <c r="M177" s="40">
        <f t="shared" si="4"/>
        <v>0</v>
      </c>
      <c r="N177" s="40">
        <f t="shared" si="5"/>
        <v>1</v>
      </c>
    </row>
    <row r="178" spans="1:14" ht="16" x14ac:dyDescent="0.2">
      <c r="A178" s="40">
        <v>177</v>
      </c>
      <c r="B178" s="40" t="s">
        <v>13</v>
      </c>
      <c r="C178" s="40">
        <v>2.9</v>
      </c>
      <c r="D178" s="40" t="s">
        <v>17</v>
      </c>
      <c r="E178" s="40" t="s">
        <v>17</v>
      </c>
      <c r="F178" s="40" t="s">
        <v>19</v>
      </c>
      <c r="G178" s="40" t="s">
        <v>23</v>
      </c>
      <c r="H178" s="40" t="s">
        <v>16</v>
      </c>
      <c r="I178" s="40">
        <v>5</v>
      </c>
      <c r="J178" s="40" t="s">
        <v>34</v>
      </c>
      <c r="K178" s="40" t="s">
        <v>47</v>
      </c>
      <c r="L178" s="40">
        <v>17</v>
      </c>
      <c r="M178" s="40">
        <f t="shared" si="4"/>
        <v>1</v>
      </c>
      <c r="N178" s="40">
        <f t="shared" si="5"/>
        <v>1</v>
      </c>
    </row>
    <row r="179" spans="1:14" ht="16" x14ac:dyDescent="0.2">
      <c r="A179" s="40">
        <v>178</v>
      </c>
      <c r="B179" s="40" t="s">
        <v>14</v>
      </c>
      <c r="C179" s="40">
        <v>17.600000000000001</v>
      </c>
      <c r="D179" s="40" t="s">
        <v>16</v>
      </c>
      <c r="E179" s="40" t="s">
        <v>16</v>
      </c>
      <c r="F179" s="40" t="s">
        <v>21</v>
      </c>
      <c r="G179" s="40" t="s">
        <v>23</v>
      </c>
      <c r="H179" s="40" t="s">
        <v>16</v>
      </c>
      <c r="I179" s="40">
        <v>4</v>
      </c>
      <c r="J179" s="40" t="s">
        <v>34</v>
      </c>
      <c r="K179" s="40" t="s">
        <v>47</v>
      </c>
      <c r="L179" s="40">
        <v>15</v>
      </c>
      <c r="M179" s="40">
        <f t="shared" si="4"/>
        <v>0</v>
      </c>
      <c r="N179" s="40">
        <f t="shared" si="5"/>
        <v>0</v>
      </c>
    </row>
    <row r="180" spans="1:14" ht="16" x14ac:dyDescent="0.2">
      <c r="A180" s="40">
        <v>179</v>
      </c>
      <c r="B180" s="40" t="s">
        <v>12</v>
      </c>
      <c r="C180" s="40">
        <v>13.4</v>
      </c>
      <c r="D180" s="40" t="s">
        <v>16</v>
      </c>
      <c r="E180" s="40" t="s">
        <v>17</v>
      </c>
      <c r="F180" s="40" t="s">
        <v>21</v>
      </c>
      <c r="G180" s="40" t="s">
        <v>23</v>
      </c>
      <c r="H180" s="40" t="s">
        <v>17</v>
      </c>
      <c r="I180" s="40">
        <v>4</v>
      </c>
      <c r="J180" s="40" t="s">
        <v>25</v>
      </c>
      <c r="K180" s="40" t="s">
        <v>47</v>
      </c>
      <c r="L180" s="40">
        <v>15</v>
      </c>
      <c r="M180" s="40">
        <f t="shared" si="4"/>
        <v>0</v>
      </c>
      <c r="N180" s="40">
        <f t="shared" si="5"/>
        <v>1</v>
      </c>
    </row>
    <row r="181" spans="1:14" ht="16" x14ac:dyDescent="0.2">
      <c r="A181" s="40">
        <v>180</v>
      </c>
      <c r="B181" s="40" t="s">
        <v>13</v>
      </c>
      <c r="C181" s="40">
        <v>8</v>
      </c>
      <c r="D181" s="40" t="s">
        <v>16</v>
      </c>
      <c r="E181" s="40" t="s">
        <v>17</v>
      </c>
      <c r="F181" s="40" t="s">
        <v>19</v>
      </c>
      <c r="G181" s="40" t="s">
        <v>22</v>
      </c>
      <c r="H181" s="40" t="s">
        <v>16</v>
      </c>
      <c r="I181" s="40">
        <v>4</v>
      </c>
      <c r="J181" s="40" t="s">
        <v>36</v>
      </c>
      <c r="K181" s="40" t="s">
        <v>45</v>
      </c>
      <c r="L181" s="40">
        <v>13</v>
      </c>
      <c r="M181" s="40">
        <f t="shared" si="4"/>
        <v>0</v>
      </c>
      <c r="N181" s="40">
        <f t="shared" si="5"/>
        <v>1</v>
      </c>
    </row>
    <row r="182" spans="1:14" ht="16" x14ac:dyDescent="0.2">
      <c r="A182" s="40">
        <v>181</v>
      </c>
      <c r="B182" s="40" t="s">
        <v>14</v>
      </c>
      <c r="C182" s="40">
        <v>2</v>
      </c>
      <c r="D182" s="40" t="s">
        <v>17</v>
      </c>
      <c r="E182" s="40" t="s">
        <v>17</v>
      </c>
      <c r="F182" s="40" t="s">
        <v>18</v>
      </c>
      <c r="G182" s="40" t="s">
        <v>24</v>
      </c>
      <c r="H182" s="40" t="s">
        <v>16</v>
      </c>
      <c r="I182" s="40">
        <v>5</v>
      </c>
      <c r="J182" s="40" t="s">
        <v>41</v>
      </c>
      <c r="K182" s="40" t="s">
        <v>47</v>
      </c>
      <c r="L182" s="40">
        <v>13</v>
      </c>
      <c r="M182" s="40">
        <f t="shared" si="4"/>
        <v>1</v>
      </c>
      <c r="N182" s="40">
        <f t="shared" si="5"/>
        <v>1</v>
      </c>
    </row>
    <row r="183" spans="1:14" ht="16" x14ac:dyDescent="0.2">
      <c r="A183" s="40">
        <v>182</v>
      </c>
      <c r="B183" s="40" t="s">
        <v>14</v>
      </c>
      <c r="C183" s="40">
        <v>3.9</v>
      </c>
      <c r="D183" s="40" t="s">
        <v>17</v>
      </c>
      <c r="E183" s="40" t="s">
        <v>16</v>
      </c>
      <c r="F183" s="40" t="s">
        <v>18</v>
      </c>
      <c r="G183" s="40" t="s">
        <v>22</v>
      </c>
      <c r="H183" s="40" t="s">
        <v>16</v>
      </c>
      <c r="I183" s="40">
        <v>3</v>
      </c>
      <c r="J183" s="40" t="s">
        <v>36</v>
      </c>
      <c r="K183" s="40" t="s">
        <v>46</v>
      </c>
      <c r="L183" s="40">
        <v>10</v>
      </c>
      <c r="M183" s="40">
        <f t="shared" si="4"/>
        <v>1</v>
      </c>
      <c r="N183" s="40">
        <f t="shared" si="5"/>
        <v>0</v>
      </c>
    </row>
    <row r="184" spans="1:14" ht="16" x14ac:dyDescent="0.2">
      <c r="A184" s="40">
        <v>183</v>
      </c>
      <c r="B184" s="40" t="s">
        <v>15</v>
      </c>
      <c r="C184" s="40">
        <v>3.9</v>
      </c>
      <c r="D184" s="40" t="s">
        <v>16</v>
      </c>
      <c r="E184" s="40" t="s">
        <v>17</v>
      </c>
      <c r="F184" s="40" t="s">
        <v>20</v>
      </c>
      <c r="G184" s="40" t="s">
        <v>23</v>
      </c>
      <c r="H184" s="40" t="s">
        <v>17</v>
      </c>
      <c r="I184" s="40">
        <v>4</v>
      </c>
      <c r="J184" s="40" t="s">
        <v>33</v>
      </c>
      <c r="K184" s="40" t="s">
        <v>45</v>
      </c>
      <c r="L184" s="40">
        <v>11</v>
      </c>
      <c r="M184" s="40">
        <f t="shared" si="4"/>
        <v>0</v>
      </c>
      <c r="N184" s="40">
        <f t="shared" si="5"/>
        <v>1</v>
      </c>
    </row>
    <row r="185" spans="1:14" ht="16" x14ac:dyDescent="0.2">
      <c r="A185" s="40">
        <v>184</v>
      </c>
      <c r="B185" s="40" t="s">
        <v>12</v>
      </c>
      <c r="C185" s="40">
        <v>3.6</v>
      </c>
      <c r="D185" s="40" t="s">
        <v>16</v>
      </c>
      <c r="E185" s="40" t="s">
        <v>17</v>
      </c>
      <c r="F185" s="40" t="s">
        <v>19</v>
      </c>
      <c r="G185" s="40" t="s">
        <v>23</v>
      </c>
      <c r="H185" s="40" t="s">
        <v>16</v>
      </c>
      <c r="I185" s="40">
        <v>3</v>
      </c>
      <c r="J185" s="40" t="s">
        <v>29</v>
      </c>
      <c r="K185" s="40" t="s">
        <v>45</v>
      </c>
      <c r="L185" s="40">
        <v>9</v>
      </c>
      <c r="M185" s="40">
        <f t="shared" si="4"/>
        <v>0</v>
      </c>
      <c r="N185" s="40">
        <f t="shared" si="5"/>
        <v>1</v>
      </c>
    </row>
    <row r="186" spans="1:14" ht="16" x14ac:dyDescent="0.2">
      <c r="A186" s="40">
        <v>185</v>
      </c>
      <c r="B186" s="40" t="s">
        <v>13</v>
      </c>
      <c r="C186" s="40">
        <v>7.3</v>
      </c>
      <c r="D186" s="40" t="s">
        <v>16</v>
      </c>
      <c r="E186" s="40" t="s">
        <v>17</v>
      </c>
      <c r="F186" s="40" t="s">
        <v>19</v>
      </c>
      <c r="G186" s="40" t="s">
        <v>23</v>
      </c>
      <c r="H186" s="40" t="s">
        <v>16</v>
      </c>
      <c r="I186" s="40">
        <v>5</v>
      </c>
      <c r="J186" s="40" t="s">
        <v>40</v>
      </c>
      <c r="K186" s="40" t="s">
        <v>45</v>
      </c>
      <c r="L186" s="40">
        <v>15</v>
      </c>
      <c r="M186" s="40">
        <f t="shared" si="4"/>
        <v>0</v>
      </c>
      <c r="N186" s="40">
        <f t="shared" si="5"/>
        <v>1</v>
      </c>
    </row>
    <row r="187" spans="1:14" ht="16" x14ac:dyDescent="0.2">
      <c r="A187" s="40">
        <v>186</v>
      </c>
      <c r="B187" s="40" t="s">
        <v>14</v>
      </c>
      <c r="C187" s="40">
        <v>11.5</v>
      </c>
      <c r="D187" s="40" t="s">
        <v>16</v>
      </c>
      <c r="E187" s="40" t="s">
        <v>17</v>
      </c>
      <c r="F187" s="40" t="s">
        <v>19</v>
      </c>
      <c r="G187" s="40" t="s">
        <v>22</v>
      </c>
      <c r="H187" s="40" t="s">
        <v>16</v>
      </c>
      <c r="I187" s="40">
        <v>4</v>
      </c>
      <c r="J187" s="40" t="s">
        <v>41</v>
      </c>
      <c r="K187" s="40" t="s">
        <v>47</v>
      </c>
      <c r="L187" s="40">
        <v>19</v>
      </c>
      <c r="M187" s="40">
        <f t="shared" si="4"/>
        <v>0</v>
      </c>
      <c r="N187" s="40">
        <f t="shared" si="5"/>
        <v>1</v>
      </c>
    </row>
    <row r="188" spans="1:14" ht="16" x14ac:dyDescent="0.2">
      <c r="A188" s="40">
        <v>187</v>
      </c>
      <c r="B188" s="40" t="s">
        <v>13</v>
      </c>
      <c r="C188" s="40">
        <v>12.9</v>
      </c>
      <c r="D188" s="40" t="s">
        <v>16</v>
      </c>
      <c r="E188" s="40" t="s">
        <v>17</v>
      </c>
      <c r="F188" s="40" t="s">
        <v>21</v>
      </c>
      <c r="G188" s="40" t="s">
        <v>23</v>
      </c>
      <c r="H188" s="40" t="s">
        <v>16</v>
      </c>
      <c r="I188" s="40">
        <v>5</v>
      </c>
      <c r="J188" s="40" t="s">
        <v>42</v>
      </c>
      <c r="K188" s="40" t="s">
        <v>47</v>
      </c>
      <c r="L188" s="40">
        <v>15</v>
      </c>
      <c r="M188" s="40">
        <f t="shared" si="4"/>
        <v>0</v>
      </c>
      <c r="N188" s="40">
        <f t="shared" si="5"/>
        <v>1</v>
      </c>
    </row>
    <row r="189" spans="1:14" ht="16" x14ac:dyDescent="0.2">
      <c r="A189" s="40">
        <v>188</v>
      </c>
      <c r="B189" s="40" t="s">
        <v>15</v>
      </c>
      <c r="C189" s="40">
        <v>4.7</v>
      </c>
      <c r="D189" s="40" t="s">
        <v>16</v>
      </c>
      <c r="E189" s="40" t="s">
        <v>17</v>
      </c>
      <c r="F189" s="40" t="s">
        <v>20</v>
      </c>
      <c r="G189" s="40" t="s">
        <v>23</v>
      </c>
      <c r="H189" s="40" t="s">
        <v>17</v>
      </c>
      <c r="I189" s="40">
        <v>4</v>
      </c>
      <c r="J189" s="40" t="s">
        <v>34</v>
      </c>
      <c r="K189" s="40" t="s">
        <v>47</v>
      </c>
      <c r="L189" s="40">
        <v>18</v>
      </c>
      <c r="M189" s="40">
        <f t="shared" si="4"/>
        <v>0</v>
      </c>
      <c r="N189" s="40">
        <f t="shared" si="5"/>
        <v>1</v>
      </c>
    </row>
    <row r="190" spans="1:14" ht="16" x14ac:dyDescent="0.2">
      <c r="A190" s="40">
        <v>189</v>
      </c>
      <c r="B190" s="40" t="s">
        <v>15</v>
      </c>
      <c r="C190" s="40">
        <v>13.8</v>
      </c>
      <c r="D190" s="40" t="s">
        <v>17</v>
      </c>
      <c r="E190" s="40" t="s">
        <v>17</v>
      </c>
      <c r="F190" s="40" t="s">
        <v>20</v>
      </c>
      <c r="G190" s="40" t="s">
        <v>22</v>
      </c>
      <c r="H190" s="40" t="s">
        <v>16</v>
      </c>
      <c r="I190" s="40">
        <v>4</v>
      </c>
      <c r="J190" s="40" t="s">
        <v>27</v>
      </c>
      <c r="K190" s="40" t="s">
        <v>47</v>
      </c>
      <c r="L190" s="40">
        <v>8</v>
      </c>
      <c r="M190" s="40">
        <f t="shared" si="4"/>
        <v>1</v>
      </c>
      <c r="N190" s="40">
        <f t="shared" si="5"/>
        <v>1</v>
      </c>
    </row>
    <row r="191" spans="1:14" ht="16" x14ac:dyDescent="0.2">
      <c r="A191" s="40">
        <v>190</v>
      </c>
      <c r="B191" s="40" t="s">
        <v>12</v>
      </c>
      <c r="C191" s="40">
        <v>6.4</v>
      </c>
      <c r="D191" s="40" t="s">
        <v>16</v>
      </c>
      <c r="E191" s="40" t="s">
        <v>17</v>
      </c>
      <c r="F191" s="40" t="s">
        <v>19</v>
      </c>
      <c r="G191" s="40" t="s">
        <v>22</v>
      </c>
      <c r="H191" s="40" t="s">
        <v>17</v>
      </c>
      <c r="I191" s="40">
        <v>4</v>
      </c>
      <c r="J191" s="40" t="s">
        <v>27</v>
      </c>
      <c r="K191" s="40" t="s">
        <v>46</v>
      </c>
      <c r="L191" s="40">
        <v>13</v>
      </c>
      <c r="M191" s="40">
        <f t="shared" si="4"/>
        <v>0</v>
      </c>
      <c r="N191" s="40">
        <f t="shared" si="5"/>
        <v>1</v>
      </c>
    </row>
    <row r="192" spans="1:14" ht="16" x14ac:dyDescent="0.2">
      <c r="A192" s="40">
        <v>191</v>
      </c>
      <c r="B192" s="40" t="s">
        <v>14</v>
      </c>
      <c r="C192" s="40">
        <v>18.399999999999999</v>
      </c>
      <c r="D192" s="40" t="s">
        <v>17</v>
      </c>
      <c r="E192" s="40" t="s">
        <v>17</v>
      </c>
      <c r="F192" s="40" t="s">
        <v>21</v>
      </c>
      <c r="G192" s="40" t="s">
        <v>23</v>
      </c>
      <c r="H192" s="40" t="s">
        <v>16</v>
      </c>
      <c r="I192" s="40">
        <v>1</v>
      </c>
      <c r="J192" s="40" t="s">
        <v>42</v>
      </c>
      <c r="K192" s="40" t="s">
        <v>46</v>
      </c>
      <c r="L192" s="40">
        <v>13</v>
      </c>
      <c r="M192" s="40">
        <f t="shared" si="4"/>
        <v>1</v>
      </c>
      <c r="N192" s="40">
        <f t="shared" si="5"/>
        <v>1</v>
      </c>
    </row>
    <row r="193" spans="1:14" ht="16" x14ac:dyDescent="0.2">
      <c r="A193" s="40">
        <v>192</v>
      </c>
      <c r="B193" s="40" t="s">
        <v>13</v>
      </c>
      <c r="C193" s="40">
        <v>19.3</v>
      </c>
      <c r="D193" s="40" t="s">
        <v>17</v>
      </c>
      <c r="E193" s="40" t="s">
        <v>17</v>
      </c>
      <c r="F193" s="40" t="s">
        <v>18</v>
      </c>
      <c r="G193" s="40" t="s">
        <v>22</v>
      </c>
      <c r="H193" s="40" t="s">
        <v>17</v>
      </c>
      <c r="I193" s="40">
        <v>1</v>
      </c>
      <c r="J193" s="40" t="s">
        <v>29</v>
      </c>
      <c r="K193" s="40" t="s">
        <v>45</v>
      </c>
      <c r="L193" s="40">
        <v>19</v>
      </c>
      <c r="M193" s="40">
        <f t="shared" si="4"/>
        <v>1</v>
      </c>
      <c r="N193" s="40">
        <f t="shared" si="5"/>
        <v>1</v>
      </c>
    </row>
    <row r="194" spans="1:14" ht="16" x14ac:dyDescent="0.2">
      <c r="A194" s="40">
        <v>193</v>
      </c>
      <c r="B194" s="40" t="s">
        <v>14</v>
      </c>
      <c r="C194" s="40">
        <v>11.5</v>
      </c>
      <c r="D194" s="40" t="s">
        <v>16</v>
      </c>
      <c r="E194" s="40" t="s">
        <v>17</v>
      </c>
      <c r="F194" s="40" t="s">
        <v>19</v>
      </c>
      <c r="G194" s="40" t="s">
        <v>23</v>
      </c>
      <c r="H194" s="40" t="s">
        <v>16</v>
      </c>
      <c r="I194" s="40">
        <v>4</v>
      </c>
      <c r="J194" s="40" t="s">
        <v>30</v>
      </c>
      <c r="K194" s="40" t="s">
        <v>46</v>
      </c>
      <c r="L194" s="40">
        <v>9</v>
      </c>
      <c r="M194" s="40">
        <f t="shared" ref="M194:M257" si="6">IF(D194="Yes",1,0)</f>
        <v>0</v>
      </c>
      <c r="N194" s="40">
        <f t="shared" ref="N194:N257" si="7">IF(E194="Yes",1,0)</f>
        <v>1</v>
      </c>
    </row>
    <row r="195" spans="1:14" ht="16" x14ac:dyDescent="0.2">
      <c r="A195" s="40">
        <v>194</v>
      </c>
      <c r="B195" s="40" t="s">
        <v>14</v>
      </c>
      <c r="C195" s="40">
        <v>8.6999999999999993</v>
      </c>
      <c r="D195" s="40" t="s">
        <v>17</v>
      </c>
      <c r="E195" s="40" t="s">
        <v>16</v>
      </c>
      <c r="F195" s="40" t="s">
        <v>20</v>
      </c>
      <c r="G195" s="40" t="s">
        <v>24</v>
      </c>
      <c r="H195" s="40" t="s">
        <v>17</v>
      </c>
      <c r="I195" s="40">
        <v>4</v>
      </c>
      <c r="J195" s="40" t="s">
        <v>39</v>
      </c>
      <c r="K195" s="40" t="s">
        <v>45</v>
      </c>
      <c r="L195" s="40">
        <v>15</v>
      </c>
      <c r="M195" s="40">
        <f t="shared" si="6"/>
        <v>1</v>
      </c>
      <c r="N195" s="40">
        <f t="shared" si="7"/>
        <v>0</v>
      </c>
    </row>
    <row r="196" spans="1:14" ht="16" x14ac:dyDescent="0.2">
      <c r="A196" s="40">
        <v>195</v>
      </c>
      <c r="B196" s="40" t="s">
        <v>13</v>
      </c>
      <c r="C196" s="40">
        <v>19</v>
      </c>
      <c r="D196" s="40" t="s">
        <v>16</v>
      </c>
      <c r="E196" s="40" t="s">
        <v>17</v>
      </c>
      <c r="F196" s="40" t="s">
        <v>19</v>
      </c>
      <c r="G196" s="40" t="s">
        <v>23</v>
      </c>
      <c r="H196" s="40" t="s">
        <v>16</v>
      </c>
      <c r="I196" s="40">
        <v>5</v>
      </c>
      <c r="J196" s="40" t="s">
        <v>32</v>
      </c>
      <c r="K196" s="40" t="s">
        <v>46</v>
      </c>
      <c r="L196" s="40">
        <v>18</v>
      </c>
      <c r="M196" s="40">
        <f t="shared" si="6"/>
        <v>0</v>
      </c>
      <c r="N196" s="40">
        <f t="shared" si="7"/>
        <v>1</v>
      </c>
    </row>
    <row r="197" spans="1:14" ht="16" x14ac:dyDescent="0.2">
      <c r="A197" s="40">
        <v>196</v>
      </c>
      <c r="B197" s="40" t="s">
        <v>15</v>
      </c>
      <c r="C197" s="40">
        <v>16.100000000000001</v>
      </c>
      <c r="D197" s="40" t="s">
        <v>16</v>
      </c>
      <c r="E197" s="40" t="s">
        <v>17</v>
      </c>
      <c r="F197" s="40" t="s">
        <v>19</v>
      </c>
      <c r="G197" s="40" t="s">
        <v>23</v>
      </c>
      <c r="H197" s="40" t="s">
        <v>16</v>
      </c>
      <c r="I197" s="40">
        <v>3</v>
      </c>
      <c r="J197" s="40" t="s">
        <v>33</v>
      </c>
      <c r="K197" s="40" t="s">
        <v>45</v>
      </c>
      <c r="L197" s="40">
        <v>19</v>
      </c>
      <c r="M197" s="40">
        <f t="shared" si="6"/>
        <v>0</v>
      </c>
      <c r="N197" s="40">
        <f t="shared" si="7"/>
        <v>1</v>
      </c>
    </row>
    <row r="198" spans="1:14" ht="16" x14ac:dyDescent="0.2">
      <c r="A198" s="40">
        <v>197</v>
      </c>
      <c r="B198" s="40" t="s">
        <v>15</v>
      </c>
      <c r="C198" s="40">
        <v>5.2</v>
      </c>
      <c r="D198" s="40" t="s">
        <v>17</v>
      </c>
      <c r="E198" s="40" t="s">
        <v>17</v>
      </c>
      <c r="F198" s="40" t="s">
        <v>19</v>
      </c>
      <c r="G198" s="40" t="s">
        <v>23</v>
      </c>
      <c r="H198" s="40" t="s">
        <v>16</v>
      </c>
      <c r="I198" s="40">
        <v>5</v>
      </c>
      <c r="J198" s="40" t="s">
        <v>37</v>
      </c>
      <c r="K198" s="40" t="s">
        <v>46</v>
      </c>
      <c r="L198" s="40">
        <v>10</v>
      </c>
      <c r="M198" s="40">
        <f t="shared" si="6"/>
        <v>1</v>
      </c>
      <c r="N198" s="40">
        <f t="shared" si="7"/>
        <v>1</v>
      </c>
    </row>
    <row r="199" spans="1:14" ht="16" x14ac:dyDescent="0.2">
      <c r="A199" s="40">
        <v>198</v>
      </c>
      <c r="B199" s="40" t="s">
        <v>13</v>
      </c>
      <c r="C199" s="40">
        <v>11.6</v>
      </c>
      <c r="D199" s="40" t="s">
        <v>16</v>
      </c>
      <c r="E199" s="40" t="s">
        <v>17</v>
      </c>
      <c r="F199" s="40" t="s">
        <v>19</v>
      </c>
      <c r="G199" s="40" t="s">
        <v>23</v>
      </c>
      <c r="H199" s="40" t="s">
        <v>16</v>
      </c>
      <c r="I199" s="40">
        <v>4</v>
      </c>
      <c r="J199" s="40" t="s">
        <v>37</v>
      </c>
      <c r="K199" s="40" t="s">
        <v>47</v>
      </c>
      <c r="L199" s="40">
        <v>10</v>
      </c>
      <c r="M199" s="40">
        <f t="shared" si="6"/>
        <v>0</v>
      </c>
      <c r="N199" s="40">
        <f t="shared" si="7"/>
        <v>1</v>
      </c>
    </row>
    <row r="200" spans="1:14" ht="16" x14ac:dyDescent="0.2">
      <c r="A200" s="40">
        <v>199</v>
      </c>
      <c r="B200" s="40" t="s">
        <v>13</v>
      </c>
      <c r="C200" s="40">
        <v>17.8</v>
      </c>
      <c r="D200" s="40" t="s">
        <v>16</v>
      </c>
      <c r="E200" s="40" t="s">
        <v>17</v>
      </c>
      <c r="F200" s="40" t="s">
        <v>19</v>
      </c>
      <c r="G200" s="40" t="s">
        <v>22</v>
      </c>
      <c r="H200" s="40" t="s">
        <v>16</v>
      </c>
      <c r="I200" s="40">
        <v>3</v>
      </c>
      <c r="J200" s="40" t="s">
        <v>36</v>
      </c>
      <c r="K200" s="40" t="s">
        <v>45</v>
      </c>
      <c r="L200" s="40">
        <v>9</v>
      </c>
      <c r="M200" s="40">
        <f t="shared" si="6"/>
        <v>0</v>
      </c>
      <c r="N200" s="40">
        <f t="shared" si="7"/>
        <v>1</v>
      </c>
    </row>
    <row r="201" spans="1:14" ht="16" x14ac:dyDescent="0.2">
      <c r="A201" s="40">
        <v>200</v>
      </c>
      <c r="B201" s="40" t="s">
        <v>12</v>
      </c>
      <c r="C201" s="40">
        <v>2.9</v>
      </c>
      <c r="D201" s="40" t="s">
        <v>17</v>
      </c>
      <c r="E201" s="40" t="s">
        <v>17</v>
      </c>
      <c r="F201" s="40" t="s">
        <v>18</v>
      </c>
      <c r="G201" s="40" t="s">
        <v>23</v>
      </c>
      <c r="H201" s="40" t="s">
        <v>16</v>
      </c>
      <c r="I201" s="40">
        <v>3</v>
      </c>
      <c r="J201" s="40" t="s">
        <v>28</v>
      </c>
      <c r="K201" s="40" t="s">
        <v>47</v>
      </c>
      <c r="L201" s="40">
        <v>14</v>
      </c>
      <c r="M201" s="40">
        <f t="shared" si="6"/>
        <v>1</v>
      </c>
      <c r="N201" s="40">
        <f t="shared" si="7"/>
        <v>1</v>
      </c>
    </row>
    <row r="202" spans="1:14" ht="16" x14ac:dyDescent="0.2">
      <c r="A202" s="40">
        <v>201</v>
      </c>
      <c r="B202" s="40" t="s">
        <v>14</v>
      </c>
      <c r="C202" s="40">
        <v>10.3</v>
      </c>
      <c r="D202" s="40" t="s">
        <v>17</v>
      </c>
      <c r="E202" s="40" t="s">
        <v>17</v>
      </c>
      <c r="F202" s="40" t="s">
        <v>19</v>
      </c>
      <c r="G202" s="40" t="s">
        <v>23</v>
      </c>
      <c r="H202" s="40" t="s">
        <v>17</v>
      </c>
      <c r="I202" s="40">
        <v>3</v>
      </c>
      <c r="J202" s="40" t="s">
        <v>41</v>
      </c>
      <c r="K202" s="40" t="s">
        <v>46</v>
      </c>
      <c r="L202" s="40">
        <v>10</v>
      </c>
      <c r="M202" s="40">
        <f t="shared" si="6"/>
        <v>1</v>
      </c>
      <c r="N202" s="40">
        <f t="shared" si="7"/>
        <v>1</v>
      </c>
    </row>
    <row r="203" spans="1:14" ht="16" x14ac:dyDescent="0.2">
      <c r="A203" s="40">
        <v>202</v>
      </c>
      <c r="B203" s="40" t="s">
        <v>15</v>
      </c>
      <c r="C203" s="40">
        <v>5.2</v>
      </c>
      <c r="D203" s="40" t="s">
        <v>16</v>
      </c>
      <c r="E203" s="40" t="s">
        <v>17</v>
      </c>
      <c r="F203" s="40" t="s">
        <v>21</v>
      </c>
      <c r="G203" s="40" t="s">
        <v>22</v>
      </c>
      <c r="H203" s="40" t="s">
        <v>16</v>
      </c>
      <c r="I203" s="40">
        <v>4</v>
      </c>
      <c r="J203" s="40" t="s">
        <v>32</v>
      </c>
      <c r="K203" s="40" t="s">
        <v>46</v>
      </c>
      <c r="L203" s="40">
        <v>11</v>
      </c>
      <c r="M203" s="40">
        <f t="shared" si="6"/>
        <v>0</v>
      </c>
      <c r="N203" s="40">
        <f t="shared" si="7"/>
        <v>1</v>
      </c>
    </row>
    <row r="204" spans="1:14" ht="16" x14ac:dyDescent="0.2">
      <c r="A204" s="40">
        <v>203</v>
      </c>
      <c r="B204" s="40" t="s">
        <v>14</v>
      </c>
      <c r="C204" s="40">
        <v>19.399999999999999</v>
      </c>
      <c r="D204" s="40" t="s">
        <v>17</v>
      </c>
      <c r="E204" s="40" t="s">
        <v>17</v>
      </c>
      <c r="F204" s="40" t="s">
        <v>19</v>
      </c>
      <c r="G204" s="40" t="s">
        <v>23</v>
      </c>
      <c r="H204" s="40" t="s">
        <v>17</v>
      </c>
      <c r="I204" s="40">
        <v>5</v>
      </c>
      <c r="J204" s="40" t="s">
        <v>38</v>
      </c>
      <c r="K204" s="40" t="s">
        <v>45</v>
      </c>
      <c r="L204" s="40">
        <v>14</v>
      </c>
      <c r="M204" s="40">
        <f t="shared" si="6"/>
        <v>1</v>
      </c>
      <c r="N204" s="40">
        <f t="shared" si="7"/>
        <v>1</v>
      </c>
    </row>
    <row r="205" spans="1:14" ht="16" x14ac:dyDescent="0.2">
      <c r="A205" s="40">
        <v>204</v>
      </c>
      <c r="B205" s="40" t="s">
        <v>15</v>
      </c>
      <c r="C205" s="40">
        <v>4.9000000000000004</v>
      </c>
      <c r="D205" s="40" t="s">
        <v>16</v>
      </c>
      <c r="E205" s="40" t="s">
        <v>17</v>
      </c>
      <c r="F205" s="40" t="s">
        <v>18</v>
      </c>
      <c r="G205" s="40" t="s">
        <v>22</v>
      </c>
      <c r="H205" s="40" t="s">
        <v>17</v>
      </c>
      <c r="I205" s="40">
        <v>2</v>
      </c>
      <c r="J205" s="40" t="s">
        <v>31</v>
      </c>
      <c r="K205" s="40" t="s">
        <v>47</v>
      </c>
      <c r="L205" s="40">
        <v>14</v>
      </c>
      <c r="M205" s="40">
        <f t="shared" si="6"/>
        <v>0</v>
      </c>
      <c r="N205" s="40">
        <f t="shared" si="7"/>
        <v>1</v>
      </c>
    </row>
    <row r="206" spans="1:14" ht="16" x14ac:dyDescent="0.2">
      <c r="A206" s="40">
        <v>205</v>
      </c>
      <c r="B206" s="40" t="s">
        <v>14</v>
      </c>
      <c r="C206" s="40">
        <v>6.4</v>
      </c>
      <c r="D206" s="40" t="s">
        <v>16</v>
      </c>
      <c r="E206" s="40" t="s">
        <v>16</v>
      </c>
      <c r="F206" s="40" t="s">
        <v>20</v>
      </c>
      <c r="G206" s="40" t="s">
        <v>23</v>
      </c>
      <c r="H206" s="40" t="s">
        <v>16</v>
      </c>
      <c r="I206" s="40">
        <v>4</v>
      </c>
      <c r="J206" s="40" t="s">
        <v>39</v>
      </c>
      <c r="K206" s="40" t="s">
        <v>47</v>
      </c>
      <c r="L206" s="40">
        <v>14</v>
      </c>
      <c r="M206" s="40">
        <f t="shared" si="6"/>
        <v>0</v>
      </c>
      <c r="N206" s="40">
        <f t="shared" si="7"/>
        <v>0</v>
      </c>
    </row>
    <row r="207" spans="1:14" ht="16" x14ac:dyDescent="0.2">
      <c r="A207" s="40">
        <v>206</v>
      </c>
      <c r="B207" s="40" t="s">
        <v>13</v>
      </c>
      <c r="C207" s="40">
        <v>5.6</v>
      </c>
      <c r="D207" s="40" t="s">
        <v>16</v>
      </c>
      <c r="E207" s="40" t="s">
        <v>17</v>
      </c>
      <c r="F207" s="40" t="s">
        <v>20</v>
      </c>
      <c r="G207" s="40" t="s">
        <v>23</v>
      </c>
      <c r="H207" s="40" t="s">
        <v>16</v>
      </c>
      <c r="I207" s="40">
        <v>3</v>
      </c>
      <c r="J207" s="40" t="s">
        <v>38</v>
      </c>
      <c r="K207" s="40" t="s">
        <v>45</v>
      </c>
      <c r="L207" s="40">
        <v>18</v>
      </c>
      <c r="M207" s="40">
        <f t="shared" si="6"/>
        <v>0</v>
      </c>
      <c r="N207" s="40">
        <f t="shared" si="7"/>
        <v>1</v>
      </c>
    </row>
    <row r="208" spans="1:14" ht="16" x14ac:dyDescent="0.2">
      <c r="A208" s="40">
        <v>207</v>
      </c>
      <c r="B208" s="40" t="s">
        <v>14</v>
      </c>
      <c r="C208" s="40">
        <v>14.1</v>
      </c>
      <c r="D208" s="40" t="s">
        <v>16</v>
      </c>
      <c r="E208" s="40" t="s">
        <v>17</v>
      </c>
      <c r="F208" s="40" t="s">
        <v>19</v>
      </c>
      <c r="G208" s="40" t="s">
        <v>23</v>
      </c>
      <c r="H208" s="40" t="s">
        <v>16</v>
      </c>
      <c r="I208" s="40">
        <v>4</v>
      </c>
      <c r="J208" s="40" t="s">
        <v>38</v>
      </c>
      <c r="K208" s="40" t="s">
        <v>46</v>
      </c>
      <c r="L208" s="40">
        <v>17</v>
      </c>
      <c r="M208" s="40">
        <f t="shared" si="6"/>
        <v>0</v>
      </c>
      <c r="N208" s="40">
        <f t="shared" si="7"/>
        <v>1</v>
      </c>
    </row>
    <row r="209" spans="1:14" ht="16" x14ac:dyDescent="0.2">
      <c r="A209" s="40">
        <v>208</v>
      </c>
      <c r="B209" s="40" t="s">
        <v>12</v>
      </c>
      <c r="C209" s="40">
        <v>15.9</v>
      </c>
      <c r="D209" s="40" t="s">
        <v>17</v>
      </c>
      <c r="E209" s="40" t="s">
        <v>17</v>
      </c>
      <c r="F209" s="40" t="s">
        <v>20</v>
      </c>
      <c r="G209" s="40" t="s">
        <v>23</v>
      </c>
      <c r="H209" s="40" t="s">
        <v>16</v>
      </c>
      <c r="I209" s="40">
        <v>5</v>
      </c>
      <c r="J209" s="40" t="s">
        <v>41</v>
      </c>
      <c r="K209" s="40" t="s">
        <v>46</v>
      </c>
      <c r="L209" s="40">
        <v>9</v>
      </c>
      <c r="M209" s="40">
        <f t="shared" si="6"/>
        <v>1</v>
      </c>
      <c r="N209" s="40">
        <f t="shared" si="7"/>
        <v>1</v>
      </c>
    </row>
    <row r="210" spans="1:14" ht="16" x14ac:dyDescent="0.2">
      <c r="A210" s="40">
        <v>209</v>
      </c>
      <c r="B210" s="40" t="s">
        <v>13</v>
      </c>
      <c r="C210" s="40">
        <v>14.5</v>
      </c>
      <c r="D210" s="40" t="s">
        <v>16</v>
      </c>
      <c r="E210" s="40" t="s">
        <v>17</v>
      </c>
      <c r="F210" s="40" t="s">
        <v>21</v>
      </c>
      <c r="G210" s="40" t="s">
        <v>23</v>
      </c>
      <c r="H210" s="40" t="s">
        <v>16</v>
      </c>
      <c r="I210" s="40">
        <v>3</v>
      </c>
      <c r="J210" s="40" t="s">
        <v>36</v>
      </c>
      <c r="K210" s="40" t="s">
        <v>46</v>
      </c>
      <c r="L210" s="40">
        <v>13</v>
      </c>
      <c r="M210" s="40">
        <f t="shared" si="6"/>
        <v>0</v>
      </c>
      <c r="N210" s="40">
        <f t="shared" si="7"/>
        <v>1</v>
      </c>
    </row>
    <row r="211" spans="1:14" ht="16" x14ac:dyDescent="0.2">
      <c r="A211" s="40">
        <v>210</v>
      </c>
      <c r="B211" s="40" t="s">
        <v>13</v>
      </c>
      <c r="C211" s="40">
        <v>18.100000000000001</v>
      </c>
      <c r="D211" s="40" t="s">
        <v>16</v>
      </c>
      <c r="E211" s="40" t="s">
        <v>17</v>
      </c>
      <c r="F211" s="40" t="s">
        <v>19</v>
      </c>
      <c r="G211" s="40" t="s">
        <v>22</v>
      </c>
      <c r="H211" s="40" t="s">
        <v>16</v>
      </c>
      <c r="I211" s="40">
        <v>5</v>
      </c>
      <c r="J211" s="40" t="s">
        <v>37</v>
      </c>
      <c r="K211" s="40" t="s">
        <v>46</v>
      </c>
      <c r="L211" s="40">
        <v>15</v>
      </c>
      <c r="M211" s="40">
        <f t="shared" si="6"/>
        <v>0</v>
      </c>
      <c r="N211" s="40">
        <f t="shared" si="7"/>
        <v>1</v>
      </c>
    </row>
    <row r="212" spans="1:14" ht="16" x14ac:dyDescent="0.2">
      <c r="A212" s="40">
        <v>211</v>
      </c>
      <c r="B212" s="40" t="s">
        <v>14</v>
      </c>
      <c r="C212" s="40">
        <v>8</v>
      </c>
      <c r="D212" s="40" t="s">
        <v>16</v>
      </c>
      <c r="E212" s="40" t="s">
        <v>17</v>
      </c>
      <c r="F212" s="40" t="s">
        <v>20</v>
      </c>
      <c r="G212" s="40" t="s">
        <v>22</v>
      </c>
      <c r="H212" s="40" t="s">
        <v>17</v>
      </c>
      <c r="I212" s="40">
        <v>3</v>
      </c>
      <c r="J212" s="40" t="s">
        <v>26</v>
      </c>
      <c r="K212" s="40" t="s">
        <v>46</v>
      </c>
      <c r="L212" s="40">
        <v>16</v>
      </c>
      <c r="M212" s="40">
        <f t="shared" si="6"/>
        <v>0</v>
      </c>
      <c r="N212" s="40">
        <f t="shared" si="7"/>
        <v>1</v>
      </c>
    </row>
    <row r="213" spans="1:14" ht="16" x14ac:dyDescent="0.2">
      <c r="A213" s="40">
        <v>212</v>
      </c>
      <c r="B213" s="40" t="s">
        <v>14</v>
      </c>
      <c r="C213" s="40">
        <v>16.600000000000001</v>
      </c>
      <c r="D213" s="40" t="s">
        <v>16</v>
      </c>
      <c r="E213" s="40" t="s">
        <v>17</v>
      </c>
      <c r="F213" s="40" t="s">
        <v>19</v>
      </c>
      <c r="G213" s="40" t="s">
        <v>22</v>
      </c>
      <c r="H213" s="40" t="s">
        <v>16</v>
      </c>
      <c r="I213" s="40">
        <v>5</v>
      </c>
      <c r="J213" s="40" t="s">
        <v>43</v>
      </c>
      <c r="K213" s="40" t="s">
        <v>46</v>
      </c>
      <c r="L213" s="40">
        <v>17</v>
      </c>
      <c r="M213" s="40">
        <f t="shared" si="6"/>
        <v>0</v>
      </c>
      <c r="N213" s="40">
        <f t="shared" si="7"/>
        <v>1</v>
      </c>
    </row>
    <row r="214" spans="1:14" ht="16" x14ac:dyDescent="0.2">
      <c r="A214" s="40">
        <v>213</v>
      </c>
      <c r="B214" s="40" t="s">
        <v>12</v>
      </c>
      <c r="C214" s="40">
        <v>10.199999999999999</v>
      </c>
      <c r="D214" s="40" t="s">
        <v>16</v>
      </c>
      <c r="E214" s="40" t="s">
        <v>16</v>
      </c>
      <c r="F214" s="40" t="s">
        <v>20</v>
      </c>
      <c r="G214" s="40" t="s">
        <v>23</v>
      </c>
      <c r="H214" s="40" t="s">
        <v>17</v>
      </c>
      <c r="I214" s="40">
        <v>4</v>
      </c>
      <c r="J214" s="40" t="s">
        <v>27</v>
      </c>
      <c r="K214" s="40" t="s">
        <v>47</v>
      </c>
      <c r="L214" s="40">
        <v>11</v>
      </c>
      <c r="M214" s="40">
        <f t="shared" si="6"/>
        <v>0</v>
      </c>
      <c r="N214" s="40">
        <f t="shared" si="7"/>
        <v>0</v>
      </c>
    </row>
    <row r="215" spans="1:14" ht="16" x14ac:dyDescent="0.2">
      <c r="A215" s="40">
        <v>214</v>
      </c>
      <c r="B215" s="40" t="s">
        <v>12</v>
      </c>
      <c r="C215" s="40">
        <v>8.8000000000000007</v>
      </c>
      <c r="D215" s="40" t="s">
        <v>16</v>
      </c>
      <c r="E215" s="40" t="s">
        <v>17</v>
      </c>
      <c r="F215" s="40" t="s">
        <v>19</v>
      </c>
      <c r="G215" s="40" t="s">
        <v>24</v>
      </c>
      <c r="H215" s="40" t="s">
        <v>16</v>
      </c>
      <c r="I215" s="40">
        <v>4</v>
      </c>
      <c r="J215" s="40" t="s">
        <v>42</v>
      </c>
      <c r="K215" s="40" t="s">
        <v>45</v>
      </c>
      <c r="L215" s="40">
        <v>9</v>
      </c>
      <c r="M215" s="40">
        <f t="shared" si="6"/>
        <v>0</v>
      </c>
      <c r="N215" s="40">
        <f t="shared" si="7"/>
        <v>1</v>
      </c>
    </row>
    <row r="216" spans="1:14" ht="16" x14ac:dyDescent="0.2">
      <c r="A216" s="40">
        <v>215</v>
      </c>
      <c r="B216" s="40" t="s">
        <v>15</v>
      </c>
      <c r="C216" s="40">
        <v>7.2</v>
      </c>
      <c r="D216" s="40" t="s">
        <v>16</v>
      </c>
      <c r="E216" s="40" t="s">
        <v>17</v>
      </c>
      <c r="F216" s="40" t="s">
        <v>18</v>
      </c>
      <c r="G216" s="40" t="s">
        <v>23</v>
      </c>
      <c r="H216" s="40" t="s">
        <v>17</v>
      </c>
      <c r="I216" s="40">
        <v>5</v>
      </c>
      <c r="J216" s="40" t="s">
        <v>33</v>
      </c>
      <c r="K216" s="40" t="s">
        <v>47</v>
      </c>
      <c r="L216" s="40">
        <v>13</v>
      </c>
      <c r="M216" s="40">
        <f t="shared" si="6"/>
        <v>0</v>
      </c>
      <c r="N216" s="40">
        <f t="shared" si="7"/>
        <v>1</v>
      </c>
    </row>
    <row r="217" spans="1:14" ht="16" x14ac:dyDescent="0.2">
      <c r="A217" s="40">
        <v>216</v>
      </c>
      <c r="B217" s="40" t="s">
        <v>14</v>
      </c>
      <c r="C217" s="40">
        <v>17.399999999999999</v>
      </c>
      <c r="D217" s="40" t="s">
        <v>17</v>
      </c>
      <c r="E217" s="40" t="s">
        <v>17</v>
      </c>
      <c r="F217" s="40" t="s">
        <v>20</v>
      </c>
      <c r="G217" s="40" t="s">
        <v>23</v>
      </c>
      <c r="H217" s="40" t="s">
        <v>16</v>
      </c>
      <c r="I217" s="40">
        <v>4</v>
      </c>
      <c r="J217" s="40" t="s">
        <v>28</v>
      </c>
      <c r="K217" s="40" t="s">
        <v>46</v>
      </c>
      <c r="L217" s="40">
        <v>19</v>
      </c>
      <c r="M217" s="40">
        <f t="shared" si="6"/>
        <v>1</v>
      </c>
      <c r="N217" s="40">
        <f t="shared" si="7"/>
        <v>1</v>
      </c>
    </row>
    <row r="218" spans="1:14" ht="16" x14ac:dyDescent="0.2">
      <c r="A218" s="40">
        <v>217</v>
      </c>
      <c r="B218" s="40" t="s">
        <v>14</v>
      </c>
      <c r="C218" s="40">
        <v>9.1</v>
      </c>
      <c r="D218" s="40" t="s">
        <v>16</v>
      </c>
      <c r="E218" s="40" t="s">
        <v>17</v>
      </c>
      <c r="F218" s="40" t="s">
        <v>18</v>
      </c>
      <c r="G218" s="40" t="s">
        <v>22</v>
      </c>
      <c r="H218" s="40" t="s">
        <v>17</v>
      </c>
      <c r="I218" s="40">
        <v>5</v>
      </c>
      <c r="J218" s="40" t="s">
        <v>40</v>
      </c>
      <c r="K218" s="40" t="s">
        <v>45</v>
      </c>
      <c r="L218" s="40">
        <v>11</v>
      </c>
      <c r="M218" s="40">
        <f t="shared" si="6"/>
        <v>0</v>
      </c>
      <c r="N218" s="40">
        <f t="shared" si="7"/>
        <v>1</v>
      </c>
    </row>
    <row r="219" spans="1:14" ht="16" x14ac:dyDescent="0.2">
      <c r="A219" s="40">
        <v>218</v>
      </c>
      <c r="B219" s="40" t="s">
        <v>13</v>
      </c>
      <c r="C219" s="40">
        <v>8</v>
      </c>
      <c r="D219" s="40" t="s">
        <v>16</v>
      </c>
      <c r="E219" s="40" t="s">
        <v>17</v>
      </c>
      <c r="F219" s="40" t="s">
        <v>20</v>
      </c>
      <c r="G219" s="40" t="s">
        <v>22</v>
      </c>
      <c r="H219" s="40" t="s">
        <v>16</v>
      </c>
      <c r="I219" s="40">
        <v>2</v>
      </c>
      <c r="J219" s="40" t="s">
        <v>43</v>
      </c>
      <c r="K219" s="40" t="s">
        <v>46</v>
      </c>
      <c r="L219" s="40">
        <v>9</v>
      </c>
      <c r="M219" s="40">
        <f t="shared" si="6"/>
        <v>0</v>
      </c>
      <c r="N219" s="40">
        <f t="shared" si="7"/>
        <v>1</v>
      </c>
    </row>
    <row r="220" spans="1:14" ht="16" x14ac:dyDescent="0.2">
      <c r="A220" s="40">
        <v>219</v>
      </c>
      <c r="B220" s="40" t="s">
        <v>14</v>
      </c>
      <c r="C220" s="40">
        <v>11.3</v>
      </c>
      <c r="D220" s="40" t="s">
        <v>16</v>
      </c>
      <c r="E220" s="40" t="s">
        <v>17</v>
      </c>
      <c r="F220" s="40" t="s">
        <v>20</v>
      </c>
      <c r="G220" s="40" t="s">
        <v>23</v>
      </c>
      <c r="H220" s="40" t="s">
        <v>16</v>
      </c>
      <c r="I220" s="40">
        <v>5</v>
      </c>
      <c r="J220" s="40" t="s">
        <v>44</v>
      </c>
      <c r="K220" s="40" t="s">
        <v>47</v>
      </c>
      <c r="L220" s="40">
        <v>12</v>
      </c>
      <c r="M220" s="40">
        <f t="shared" si="6"/>
        <v>0</v>
      </c>
      <c r="N220" s="40">
        <f t="shared" si="7"/>
        <v>1</v>
      </c>
    </row>
    <row r="221" spans="1:14" ht="16" x14ac:dyDescent="0.2">
      <c r="A221" s="40">
        <v>220</v>
      </c>
      <c r="B221" s="40" t="s">
        <v>14</v>
      </c>
      <c r="C221" s="40">
        <v>19.2</v>
      </c>
      <c r="D221" s="40" t="s">
        <v>17</v>
      </c>
      <c r="E221" s="40" t="s">
        <v>16</v>
      </c>
      <c r="F221" s="40" t="s">
        <v>18</v>
      </c>
      <c r="G221" s="40" t="s">
        <v>23</v>
      </c>
      <c r="H221" s="40" t="s">
        <v>16</v>
      </c>
      <c r="I221" s="40">
        <v>5</v>
      </c>
      <c r="J221" s="40" t="s">
        <v>26</v>
      </c>
      <c r="K221" s="40" t="s">
        <v>47</v>
      </c>
      <c r="L221" s="40">
        <v>11</v>
      </c>
      <c r="M221" s="40">
        <f t="shared" si="6"/>
        <v>1</v>
      </c>
      <c r="N221" s="40">
        <f t="shared" si="7"/>
        <v>0</v>
      </c>
    </row>
    <row r="222" spans="1:14" ht="16" x14ac:dyDescent="0.2">
      <c r="A222" s="40">
        <v>221</v>
      </c>
      <c r="B222" s="40" t="s">
        <v>13</v>
      </c>
      <c r="C222" s="40">
        <v>5.7</v>
      </c>
      <c r="D222" s="40" t="s">
        <v>16</v>
      </c>
      <c r="E222" s="40" t="s">
        <v>17</v>
      </c>
      <c r="F222" s="40" t="s">
        <v>21</v>
      </c>
      <c r="G222" s="40" t="s">
        <v>23</v>
      </c>
      <c r="H222" s="40" t="s">
        <v>16</v>
      </c>
      <c r="I222" s="40">
        <v>1</v>
      </c>
      <c r="J222" s="40" t="s">
        <v>25</v>
      </c>
      <c r="K222" s="40" t="s">
        <v>47</v>
      </c>
      <c r="L222" s="40">
        <v>12</v>
      </c>
      <c r="M222" s="40">
        <f t="shared" si="6"/>
        <v>0</v>
      </c>
      <c r="N222" s="40">
        <f t="shared" si="7"/>
        <v>1</v>
      </c>
    </row>
    <row r="223" spans="1:14" ht="16" x14ac:dyDescent="0.2">
      <c r="A223" s="40">
        <v>222</v>
      </c>
      <c r="B223" s="40" t="s">
        <v>15</v>
      </c>
      <c r="C223" s="40">
        <v>12.7</v>
      </c>
      <c r="D223" s="40" t="s">
        <v>16</v>
      </c>
      <c r="E223" s="40" t="s">
        <v>16</v>
      </c>
      <c r="F223" s="40" t="s">
        <v>19</v>
      </c>
      <c r="G223" s="40" t="s">
        <v>22</v>
      </c>
      <c r="H223" s="40" t="s">
        <v>16</v>
      </c>
      <c r="I223" s="40">
        <v>2</v>
      </c>
      <c r="J223" s="40" t="s">
        <v>26</v>
      </c>
      <c r="K223" s="40" t="s">
        <v>46</v>
      </c>
      <c r="L223" s="40">
        <v>12</v>
      </c>
      <c r="M223" s="40">
        <f t="shared" si="6"/>
        <v>0</v>
      </c>
      <c r="N223" s="40">
        <f t="shared" si="7"/>
        <v>0</v>
      </c>
    </row>
    <row r="224" spans="1:14" ht="16" x14ac:dyDescent="0.2">
      <c r="A224" s="40">
        <v>223</v>
      </c>
      <c r="B224" s="40" t="s">
        <v>12</v>
      </c>
      <c r="C224" s="40">
        <v>19.5</v>
      </c>
      <c r="D224" s="40" t="s">
        <v>16</v>
      </c>
      <c r="E224" s="40" t="s">
        <v>17</v>
      </c>
      <c r="F224" s="40" t="s">
        <v>20</v>
      </c>
      <c r="G224" s="40" t="s">
        <v>23</v>
      </c>
      <c r="H224" s="40" t="s">
        <v>16</v>
      </c>
      <c r="I224" s="40">
        <v>4</v>
      </c>
      <c r="J224" s="40" t="s">
        <v>29</v>
      </c>
      <c r="K224" s="40" t="s">
        <v>46</v>
      </c>
      <c r="L224" s="40">
        <v>11</v>
      </c>
      <c r="M224" s="40">
        <f t="shared" si="6"/>
        <v>0</v>
      </c>
      <c r="N224" s="40">
        <f t="shared" si="7"/>
        <v>1</v>
      </c>
    </row>
    <row r="225" spans="1:14" ht="16" x14ac:dyDescent="0.2">
      <c r="A225" s="40">
        <v>224</v>
      </c>
      <c r="B225" s="40" t="s">
        <v>12</v>
      </c>
      <c r="C225" s="40">
        <v>19.600000000000001</v>
      </c>
      <c r="D225" s="40" t="s">
        <v>16</v>
      </c>
      <c r="E225" s="40" t="s">
        <v>16</v>
      </c>
      <c r="F225" s="40" t="s">
        <v>21</v>
      </c>
      <c r="G225" s="40" t="s">
        <v>22</v>
      </c>
      <c r="H225" s="40" t="s">
        <v>16</v>
      </c>
      <c r="I225" s="40">
        <v>3</v>
      </c>
      <c r="J225" s="40" t="s">
        <v>32</v>
      </c>
      <c r="K225" s="40" t="s">
        <v>45</v>
      </c>
      <c r="L225" s="40">
        <v>12</v>
      </c>
      <c r="M225" s="40">
        <f t="shared" si="6"/>
        <v>0</v>
      </c>
      <c r="N225" s="40">
        <f t="shared" si="7"/>
        <v>0</v>
      </c>
    </row>
    <row r="226" spans="1:14" ht="16" x14ac:dyDescent="0.2">
      <c r="A226" s="40">
        <v>225</v>
      </c>
      <c r="B226" s="40" t="s">
        <v>13</v>
      </c>
      <c r="C226" s="40">
        <v>19</v>
      </c>
      <c r="D226" s="40" t="s">
        <v>16</v>
      </c>
      <c r="E226" s="40" t="s">
        <v>16</v>
      </c>
      <c r="F226" s="40" t="s">
        <v>18</v>
      </c>
      <c r="G226" s="40" t="s">
        <v>23</v>
      </c>
      <c r="H226" s="40" t="s">
        <v>16</v>
      </c>
      <c r="I226" s="40">
        <v>2</v>
      </c>
      <c r="J226" s="40" t="s">
        <v>35</v>
      </c>
      <c r="K226" s="40" t="s">
        <v>46</v>
      </c>
      <c r="L226" s="40">
        <v>15</v>
      </c>
      <c r="M226" s="40">
        <f t="shared" si="6"/>
        <v>0</v>
      </c>
      <c r="N226" s="40">
        <f t="shared" si="7"/>
        <v>0</v>
      </c>
    </row>
    <row r="227" spans="1:14" ht="16" x14ac:dyDescent="0.2">
      <c r="A227" s="40">
        <v>226</v>
      </c>
      <c r="B227" s="40" t="s">
        <v>13</v>
      </c>
      <c r="C227" s="40">
        <v>6.8</v>
      </c>
      <c r="D227" s="40" t="s">
        <v>16</v>
      </c>
      <c r="E227" s="40" t="s">
        <v>17</v>
      </c>
      <c r="F227" s="40" t="s">
        <v>18</v>
      </c>
      <c r="G227" s="40" t="s">
        <v>23</v>
      </c>
      <c r="H227" s="40" t="s">
        <v>17</v>
      </c>
      <c r="I227" s="40">
        <v>4</v>
      </c>
      <c r="J227" s="40" t="s">
        <v>41</v>
      </c>
      <c r="K227" s="40" t="s">
        <v>45</v>
      </c>
      <c r="L227" s="40">
        <v>15</v>
      </c>
      <c r="M227" s="40">
        <f t="shared" si="6"/>
        <v>0</v>
      </c>
      <c r="N227" s="40">
        <f t="shared" si="7"/>
        <v>1</v>
      </c>
    </row>
    <row r="228" spans="1:14" ht="16" x14ac:dyDescent="0.2">
      <c r="A228" s="40">
        <v>227</v>
      </c>
      <c r="B228" s="40" t="s">
        <v>15</v>
      </c>
      <c r="C228" s="40">
        <v>9.1999999999999993</v>
      </c>
      <c r="D228" s="40" t="s">
        <v>16</v>
      </c>
      <c r="E228" s="40" t="s">
        <v>17</v>
      </c>
      <c r="F228" s="40" t="s">
        <v>18</v>
      </c>
      <c r="G228" s="40" t="s">
        <v>23</v>
      </c>
      <c r="H228" s="40" t="s">
        <v>17</v>
      </c>
      <c r="I228" s="40">
        <v>5</v>
      </c>
      <c r="J228" s="40" t="s">
        <v>37</v>
      </c>
      <c r="K228" s="40" t="s">
        <v>46</v>
      </c>
      <c r="L228" s="40">
        <v>14</v>
      </c>
      <c r="M228" s="40">
        <f t="shared" si="6"/>
        <v>0</v>
      </c>
      <c r="N228" s="40">
        <f t="shared" si="7"/>
        <v>1</v>
      </c>
    </row>
    <row r="229" spans="1:14" ht="16" x14ac:dyDescent="0.2">
      <c r="A229" s="40">
        <v>228</v>
      </c>
      <c r="B229" s="40" t="s">
        <v>13</v>
      </c>
      <c r="C229" s="40">
        <v>6.6</v>
      </c>
      <c r="D229" s="40" t="s">
        <v>16</v>
      </c>
      <c r="E229" s="40" t="s">
        <v>17</v>
      </c>
      <c r="F229" s="40" t="s">
        <v>21</v>
      </c>
      <c r="G229" s="40" t="s">
        <v>23</v>
      </c>
      <c r="H229" s="40" t="s">
        <v>16</v>
      </c>
      <c r="I229" s="40">
        <v>1</v>
      </c>
      <c r="J229" s="40" t="s">
        <v>33</v>
      </c>
      <c r="K229" s="40" t="s">
        <v>47</v>
      </c>
      <c r="L229" s="40">
        <v>16</v>
      </c>
      <c r="M229" s="40">
        <f t="shared" si="6"/>
        <v>0</v>
      </c>
      <c r="N229" s="40">
        <f t="shared" si="7"/>
        <v>1</v>
      </c>
    </row>
    <row r="230" spans="1:14" ht="16" x14ac:dyDescent="0.2">
      <c r="A230" s="40">
        <v>229</v>
      </c>
      <c r="B230" s="40" t="s">
        <v>15</v>
      </c>
      <c r="C230" s="40">
        <v>11.2</v>
      </c>
      <c r="D230" s="40" t="s">
        <v>17</v>
      </c>
      <c r="E230" s="40" t="s">
        <v>17</v>
      </c>
      <c r="F230" s="40" t="s">
        <v>21</v>
      </c>
      <c r="G230" s="40" t="s">
        <v>23</v>
      </c>
      <c r="H230" s="40" t="s">
        <v>16</v>
      </c>
      <c r="I230" s="40">
        <v>2</v>
      </c>
      <c r="J230" s="40" t="s">
        <v>31</v>
      </c>
      <c r="K230" s="40" t="s">
        <v>46</v>
      </c>
      <c r="L230" s="40">
        <v>11</v>
      </c>
      <c r="M230" s="40">
        <f t="shared" si="6"/>
        <v>1</v>
      </c>
      <c r="N230" s="40">
        <f t="shared" si="7"/>
        <v>1</v>
      </c>
    </row>
    <row r="231" spans="1:14" ht="16" x14ac:dyDescent="0.2">
      <c r="A231" s="40">
        <v>230</v>
      </c>
      <c r="B231" s="40" t="s">
        <v>14</v>
      </c>
      <c r="C231" s="40">
        <v>8.6</v>
      </c>
      <c r="D231" s="40" t="s">
        <v>17</v>
      </c>
      <c r="E231" s="40" t="s">
        <v>17</v>
      </c>
      <c r="F231" s="40" t="s">
        <v>18</v>
      </c>
      <c r="G231" s="40" t="s">
        <v>22</v>
      </c>
      <c r="H231" s="40" t="s">
        <v>16</v>
      </c>
      <c r="I231" s="40">
        <v>4</v>
      </c>
      <c r="J231" s="40" t="s">
        <v>26</v>
      </c>
      <c r="K231" s="40" t="s">
        <v>47</v>
      </c>
      <c r="L231" s="40">
        <v>9</v>
      </c>
      <c r="M231" s="40">
        <f t="shared" si="6"/>
        <v>1</v>
      </c>
      <c r="N231" s="40">
        <f t="shared" si="7"/>
        <v>1</v>
      </c>
    </row>
    <row r="232" spans="1:14" ht="16" x14ac:dyDescent="0.2">
      <c r="A232" s="40">
        <v>231</v>
      </c>
      <c r="B232" s="40" t="s">
        <v>14</v>
      </c>
      <c r="C232" s="40">
        <v>18.8</v>
      </c>
      <c r="D232" s="40" t="s">
        <v>16</v>
      </c>
      <c r="E232" s="40" t="s">
        <v>17</v>
      </c>
      <c r="F232" s="40" t="s">
        <v>18</v>
      </c>
      <c r="G232" s="40" t="s">
        <v>22</v>
      </c>
      <c r="H232" s="40" t="s">
        <v>17</v>
      </c>
      <c r="I232" s="40">
        <v>5</v>
      </c>
      <c r="J232" s="40" t="s">
        <v>32</v>
      </c>
      <c r="K232" s="40" t="s">
        <v>46</v>
      </c>
      <c r="L232" s="40">
        <v>11</v>
      </c>
      <c r="M232" s="40">
        <f t="shared" si="6"/>
        <v>0</v>
      </c>
      <c r="N232" s="40">
        <f t="shared" si="7"/>
        <v>1</v>
      </c>
    </row>
    <row r="233" spans="1:14" ht="16" x14ac:dyDescent="0.2">
      <c r="A233" s="40">
        <v>232</v>
      </c>
      <c r="B233" s="40" t="s">
        <v>13</v>
      </c>
      <c r="C233" s="40">
        <v>14.1</v>
      </c>
      <c r="D233" s="40" t="s">
        <v>17</v>
      </c>
      <c r="E233" s="40" t="s">
        <v>17</v>
      </c>
      <c r="F233" s="40" t="s">
        <v>18</v>
      </c>
      <c r="G233" s="40" t="s">
        <v>22</v>
      </c>
      <c r="H233" s="40" t="s">
        <v>16</v>
      </c>
      <c r="I233" s="40">
        <v>4</v>
      </c>
      <c r="J233" s="40" t="s">
        <v>37</v>
      </c>
      <c r="K233" s="40" t="s">
        <v>45</v>
      </c>
      <c r="L233" s="40">
        <v>11</v>
      </c>
      <c r="M233" s="40">
        <f t="shared" si="6"/>
        <v>1</v>
      </c>
      <c r="N233" s="40">
        <f t="shared" si="7"/>
        <v>1</v>
      </c>
    </row>
    <row r="234" spans="1:14" ht="16" x14ac:dyDescent="0.2">
      <c r="A234" s="40">
        <v>233</v>
      </c>
      <c r="B234" s="40" t="s">
        <v>14</v>
      </c>
      <c r="C234" s="40">
        <v>14.4</v>
      </c>
      <c r="D234" s="40" t="s">
        <v>17</v>
      </c>
      <c r="E234" s="40" t="s">
        <v>17</v>
      </c>
      <c r="F234" s="40" t="s">
        <v>19</v>
      </c>
      <c r="G234" s="40" t="s">
        <v>23</v>
      </c>
      <c r="H234" s="40" t="s">
        <v>17</v>
      </c>
      <c r="I234" s="40">
        <v>4</v>
      </c>
      <c r="J234" s="40" t="s">
        <v>34</v>
      </c>
      <c r="K234" s="40" t="s">
        <v>45</v>
      </c>
      <c r="L234" s="40">
        <v>8</v>
      </c>
      <c r="M234" s="40">
        <f t="shared" si="6"/>
        <v>1</v>
      </c>
      <c r="N234" s="40">
        <f t="shared" si="7"/>
        <v>1</v>
      </c>
    </row>
    <row r="235" spans="1:14" ht="16" x14ac:dyDescent="0.2">
      <c r="A235" s="40">
        <v>234</v>
      </c>
      <c r="B235" s="40" t="s">
        <v>12</v>
      </c>
      <c r="C235" s="40">
        <v>3</v>
      </c>
      <c r="D235" s="40" t="s">
        <v>16</v>
      </c>
      <c r="E235" s="40" t="s">
        <v>16</v>
      </c>
      <c r="F235" s="40" t="s">
        <v>19</v>
      </c>
      <c r="G235" s="40" t="s">
        <v>23</v>
      </c>
      <c r="H235" s="40" t="s">
        <v>17</v>
      </c>
      <c r="I235" s="40">
        <v>3</v>
      </c>
      <c r="J235" s="40" t="s">
        <v>44</v>
      </c>
      <c r="K235" s="40" t="s">
        <v>46</v>
      </c>
      <c r="L235" s="40">
        <v>8</v>
      </c>
      <c r="M235" s="40">
        <f t="shared" si="6"/>
        <v>0</v>
      </c>
      <c r="N235" s="40">
        <f t="shared" si="7"/>
        <v>0</v>
      </c>
    </row>
    <row r="236" spans="1:14" ht="16" x14ac:dyDescent="0.2">
      <c r="A236" s="40">
        <v>235</v>
      </c>
      <c r="B236" s="40" t="s">
        <v>15</v>
      </c>
      <c r="C236" s="40">
        <v>14.6</v>
      </c>
      <c r="D236" s="40" t="s">
        <v>16</v>
      </c>
      <c r="E236" s="40" t="s">
        <v>16</v>
      </c>
      <c r="F236" s="40" t="s">
        <v>19</v>
      </c>
      <c r="G236" s="40" t="s">
        <v>22</v>
      </c>
      <c r="H236" s="40" t="s">
        <v>16</v>
      </c>
      <c r="I236" s="40">
        <v>3</v>
      </c>
      <c r="J236" s="40" t="s">
        <v>41</v>
      </c>
      <c r="K236" s="40" t="s">
        <v>46</v>
      </c>
      <c r="L236" s="40">
        <v>19</v>
      </c>
      <c r="M236" s="40">
        <f t="shared" si="6"/>
        <v>0</v>
      </c>
      <c r="N236" s="40">
        <f t="shared" si="7"/>
        <v>0</v>
      </c>
    </row>
    <row r="237" spans="1:14" ht="16" x14ac:dyDescent="0.2">
      <c r="A237" s="40">
        <v>236</v>
      </c>
      <c r="B237" s="40" t="s">
        <v>13</v>
      </c>
      <c r="C237" s="40">
        <v>9.9</v>
      </c>
      <c r="D237" s="40" t="s">
        <v>16</v>
      </c>
      <c r="E237" s="40" t="s">
        <v>17</v>
      </c>
      <c r="F237" s="40" t="s">
        <v>18</v>
      </c>
      <c r="G237" s="40" t="s">
        <v>23</v>
      </c>
      <c r="H237" s="40" t="s">
        <v>17</v>
      </c>
      <c r="I237" s="40">
        <v>4</v>
      </c>
      <c r="J237" s="40" t="s">
        <v>35</v>
      </c>
      <c r="K237" s="40" t="s">
        <v>45</v>
      </c>
      <c r="L237" s="40">
        <v>14</v>
      </c>
      <c r="M237" s="40">
        <f t="shared" si="6"/>
        <v>0</v>
      </c>
      <c r="N237" s="40">
        <f t="shared" si="7"/>
        <v>1</v>
      </c>
    </row>
    <row r="238" spans="1:14" ht="16" x14ac:dyDescent="0.2">
      <c r="A238" s="40">
        <v>237</v>
      </c>
      <c r="B238" s="40" t="s">
        <v>12</v>
      </c>
      <c r="C238" s="40">
        <v>19.3</v>
      </c>
      <c r="D238" s="40" t="s">
        <v>16</v>
      </c>
      <c r="E238" s="40" t="s">
        <v>17</v>
      </c>
      <c r="F238" s="40" t="s">
        <v>18</v>
      </c>
      <c r="G238" s="40" t="s">
        <v>23</v>
      </c>
      <c r="H238" s="40" t="s">
        <v>16</v>
      </c>
      <c r="I238" s="40">
        <v>1</v>
      </c>
      <c r="J238" s="40" t="s">
        <v>30</v>
      </c>
      <c r="K238" s="40" t="s">
        <v>47</v>
      </c>
      <c r="L238" s="40">
        <v>9</v>
      </c>
      <c r="M238" s="40">
        <f t="shared" si="6"/>
        <v>0</v>
      </c>
      <c r="N238" s="40">
        <f t="shared" si="7"/>
        <v>1</v>
      </c>
    </row>
    <row r="239" spans="1:14" ht="16" x14ac:dyDescent="0.2">
      <c r="A239" s="40">
        <v>238</v>
      </c>
      <c r="B239" s="40" t="s">
        <v>14</v>
      </c>
      <c r="C239" s="40">
        <v>7.4</v>
      </c>
      <c r="D239" s="40" t="s">
        <v>16</v>
      </c>
      <c r="E239" s="40" t="s">
        <v>17</v>
      </c>
      <c r="F239" s="40" t="s">
        <v>20</v>
      </c>
      <c r="G239" s="40" t="s">
        <v>24</v>
      </c>
      <c r="H239" s="40" t="s">
        <v>16</v>
      </c>
      <c r="I239" s="40">
        <v>3</v>
      </c>
      <c r="J239" s="40" t="s">
        <v>30</v>
      </c>
      <c r="K239" s="40" t="s">
        <v>47</v>
      </c>
      <c r="L239" s="40">
        <v>18</v>
      </c>
      <c r="M239" s="40">
        <f t="shared" si="6"/>
        <v>0</v>
      </c>
      <c r="N239" s="40">
        <f t="shared" si="7"/>
        <v>1</v>
      </c>
    </row>
    <row r="240" spans="1:14" ht="16" x14ac:dyDescent="0.2">
      <c r="A240" s="40">
        <v>239</v>
      </c>
      <c r="B240" s="40" t="s">
        <v>15</v>
      </c>
      <c r="C240" s="40">
        <v>7.9</v>
      </c>
      <c r="D240" s="40" t="s">
        <v>16</v>
      </c>
      <c r="E240" s="40" t="s">
        <v>17</v>
      </c>
      <c r="F240" s="40" t="s">
        <v>19</v>
      </c>
      <c r="G240" s="40" t="s">
        <v>23</v>
      </c>
      <c r="H240" s="40" t="s">
        <v>16</v>
      </c>
      <c r="I240" s="40">
        <v>3</v>
      </c>
      <c r="J240" s="40" t="s">
        <v>38</v>
      </c>
      <c r="K240" s="40" t="s">
        <v>45</v>
      </c>
      <c r="L240" s="40">
        <v>17</v>
      </c>
      <c r="M240" s="40">
        <f t="shared" si="6"/>
        <v>0</v>
      </c>
      <c r="N240" s="40">
        <f t="shared" si="7"/>
        <v>1</v>
      </c>
    </row>
    <row r="241" spans="1:14" ht="16" x14ac:dyDescent="0.2">
      <c r="A241" s="40">
        <v>240</v>
      </c>
      <c r="B241" s="40" t="s">
        <v>15</v>
      </c>
      <c r="C241" s="40">
        <v>12.1</v>
      </c>
      <c r="D241" s="40" t="s">
        <v>16</v>
      </c>
      <c r="E241" s="40" t="s">
        <v>17</v>
      </c>
      <c r="F241" s="40" t="s">
        <v>19</v>
      </c>
      <c r="G241" s="40" t="s">
        <v>23</v>
      </c>
      <c r="H241" s="40" t="s">
        <v>16</v>
      </c>
      <c r="I241" s="40">
        <v>2</v>
      </c>
      <c r="J241" s="40" t="s">
        <v>32</v>
      </c>
      <c r="K241" s="40" t="s">
        <v>47</v>
      </c>
      <c r="L241" s="40">
        <v>9</v>
      </c>
      <c r="M241" s="40">
        <f t="shared" si="6"/>
        <v>0</v>
      </c>
      <c r="N241" s="40">
        <f t="shared" si="7"/>
        <v>1</v>
      </c>
    </row>
    <row r="242" spans="1:14" ht="16" x14ac:dyDescent="0.2">
      <c r="A242" s="40">
        <v>241</v>
      </c>
      <c r="B242" s="40" t="s">
        <v>14</v>
      </c>
      <c r="C242" s="40">
        <v>13.3</v>
      </c>
      <c r="D242" s="40" t="s">
        <v>16</v>
      </c>
      <c r="E242" s="40" t="s">
        <v>17</v>
      </c>
      <c r="F242" s="40" t="s">
        <v>18</v>
      </c>
      <c r="G242" s="40" t="s">
        <v>23</v>
      </c>
      <c r="H242" s="40" t="s">
        <v>16</v>
      </c>
      <c r="I242" s="40">
        <v>5</v>
      </c>
      <c r="J242" s="40" t="s">
        <v>32</v>
      </c>
      <c r="K242" s="40" t="s">
        <v>46</v>
      </c>
      <c r="L242" s="40">
        <v>16</v>
      </c>
      <c r="M242" s="40">
        <f t="shared" si="6"/>
        <v>0</v>
      </c>
      <c r="N242" s="40">
        <f t="shared" si="7"/>
        <v>1</v>
      </c>
    </row>
    <row r="243" spans="1:14" ht="16" x14ac:dyDescent="0.2">
      <c r="A243" s="40">
        <v>242</v>
      </c>
      <c r="B243" s="40" t="s">
        <v>12</v>
      </c>
      <c r="C243" s="40">
        <v>7.4</v>
      </c>
      <c r="D243" s="40" t="s">
        <v>16</v>
      </c>
      <c r="E243" s="40" t="s">
        <v>17</v>
      </c>
      <c r="F243" s="40" t="s">
        <v>18</v>
      </c>
      <c r="G243" s="40" t="s">
        <v>23</v>
      </c>
      <c r="H243" s="40" t="s">
        <v>17</v>
      </c>
      <c r="I243" s="40">
        <v>5</v>
      </c>
      <c r="J243" s="40" t="s">
        <v>25</v>
      </c>
      <c r="K243" s="40" t="s">
        <v>46</v>
      </c>
      <c r="L243" s="40">
        <v>9</v>
      </c>
      <c r="M243" s="40">
        <f t="shared" si="6"/>
        <v>0</v>
      </c>
      <c r="N243" s="40">
        <f t="shared" si="7"/>
        <v>1</v>
      </c>
    </row>
    <row r="244" spans="1:14" ht="16" x14ac:dyDescent="0.2">
      <c r="A244" s="40">
        <v>243</v>
      </c>
      <c r="B244" s="40" t="s">
        <v>15</v>
      </c>
      <c r="C244" s="40">
        <v>8.1</v>
      </c>
      <c r="D244" s="40" t="s">
        <v>16</v>
      </c>
      <c r="E244" s="40" t="s">
        <v>17</v>
      </c>
      <c r="F244" s="40" t="s">
        <v>19</v>
      </c>
      <c r="G244" s="40" t="s">
        <v>22</v>
      </c>
      <c r="H244" s="40" t="s">
        <v>17</v>
      </c>
      <c r="I244" s="40">
        <v>5</v>
      </c>
      <c r="J244" s="40" t="s">
        <v>41</v>
      </c>
      <c r="K244" s="40" t="s">
        <v>45</v>
      </c>
      <c r="L244" s="40">
        <v>9</v>
      </c>
      <c r="M244" s="40">
        <f t="shared" si="6"/>
        <v>0</v>
      </c>
      <c r="N244" s="40">
        <f t="shared" si="7"/>
        <v>1</v>
      </c>
    </row>
    <row r="245" spans="1:14" ht="16" x14ac:dyDescent="0.2">
      <c r="A245" s="40">
        <v>244</v>
      </c>
      <c r="B245" s="40" t="s">
        <v>13</v>
      </c>
      <c r="C245" s="40">
        <v>16.399999999999999</v>
      </c>
      <c r="D245" s="40" t="s">
        <v>16</v>
      </c>
      <c r="E245" s="40" t="s">
        <v>16</v>
      </c>
      <c r="F245" s="40" t="s">
        <v>20</v>
      </c>
      <c r="G245" s="40" t="s">
        <v>22</v>
      </c>
      <c r="H245" s="40" t="s">
        <v>16</v>
      </c>
      <c r="I245" s="40">
        <v>2</v>
      </c>
      <c r="J245" s="40" t="s">
        <v>38</v>
      </c>
      <c r="K245" s="40" t="s">
        <v>47</v>
      </c>
      <c r="L245" s="40">
        <v>12</v>
      </c>
      <c r="M245" s="40">
        <f t="shared" si="6"/>
        <v>0</v>
      </c>
      <c r="N245" s="40">
        <f t="shared" si="7"/>
        <v>0</v>
      </c>
    </row>
    <row r="246" spans="1:14" ht="16" x14ac:dyDescent="0.2">
      <c r="A246" s="40">
        <v>245</v>
      </c>
      <c r="B246" s="40" t="s">
        <v>13</v>
      </c>
      <c r="C246" s="40">
        <v>15.7</v>
      </c>
      <c r="D246" s="40" t="s">
        <v>16</v>
      </c>
      <c r="E246" s="40" t="s">
        <v>17</v>
      </c>
      <c r="F246" s="40" t="s">
        <v>20</v>
      </c>
      <c r="G246" s="40" t="s">
        <v>23</v>
      </c>
      <c r="H246" s="40" t="s">
        <v>17</v>
      </c>
      <c r="I246" s="40">
        <v>4</v>
      </c>
      <c r="J246" s="40" t="s">
        <v>43</v>
      </c>
      <c r="K246" s="40" t="s">
        <v>47</v>
      </c>
      <c r="L246" s="40">
        <v>14</v>
      </c>
      <c r="M246" s="40">
        <f t="shared" si="6"/>
        <v>0</v>
      </c>
      <c r="N246" s="40">
        <f t="shared" si="7"/>
        <v>1</v>
      </c>
    </row>
    <row r="247" spans="1:14" ht="16" x14ac:dyDescent="0.2">
      <c r="A247" s="40">
        <v>246</v>
      </c>
      <c r="B247" s="40" t="s">
        <v>13</v>
      </c>
      <c r="C247" s="40">
        <v>13.1</v>
      </c>
      <c r="D247" s="40" t="s">
        <v>16</v>
      </c>
      <c r="E247" s="40" t="s">
        <v>16</v>
      </c>
      <c r="F247" s="40" t="s">
        <v>20</v>
      </c>
      <c r="G247" s="40" t="s">
        <v>22</v>
      </c>
      <c r="H247" s="40" t="s">
        <v>17</v>
      </c>
      <c r="I247" s="40">
        <v>4</v>
      </c>
      <c r="J247" s="40" t="s">
        <v>26</v>
      </c>
      <c r="K247" s="40" t="s">
        <v>45</v>
      </c>
      <c r="L247" s="40">
        <v>17</v>
      </c>
      <c r="M247" s="40">
        <f t="shared" si="6"/>
        <v>0</v>
      </c>
      <c r="N247" s="40">
        <f t="shared" si="7"/>
        <v>0</v>
      </c>
    </row>
    <row r="248" spans="1:14" ht="16" x14ac:dyDescent="0.2">
      <c r="A248" s="40">
        <v>247</v>
      </c>
      <c r="B248" s="40" t="s">
        <v>12</v>
      </c>
      <c r="C248" s="40">
        <v>18.399999999999999</v>
      </c>
      <c r="D248" s="40" t="s">
        <v>16</v>
      </c>
      <c r="E248" s="40" t="s">
        <v>17</v>
      </c>
      <c r="F248" s="40" t="s">
        <v>19</v>
      </c>
      <c r="G248" s="40" t="s">
        <v>22</v>
      </c>
      <c r="H248" s="40" t="s">
        <v>16</v>
      </c>
      <c r="I248" s="40">
        <v>4</v>
      </c>
      <c r="J248" s="40" t="s">
        <v>37</v>
      </c>
      <c r="K248" s="40" t="s">
        <v>47</v>
      </c>
      <c r="L248" s="40">
        <v>10</v>
      </c>
      <c r="M248" s="40">
        <f t="shared" si="6"/>
        <v>0</v>
      </c>
      <c r="N248" s="40">
        <f t="shared" si="7"/>
        <v>1</v>
      </c>
    </row>
    <row r="249" spans="1:14" ht="16" x14ac:dyDescent="0.2">
      <c r="A249" s="40">
        <v>248</v>
      </c>
      <c r="B249" s="40" t="s">
        <v>14</v>
      </c>
      <c r="C249" s="40">
        <v>3.3</v>
      </c>
      <c r="D249" s="40" t="s">
        <v>16</v>
      </c>
      <c r="E249" s="40" t="s">
        <v>17</v>
      </c>
      <c r="F249" s="40" t="s">
        <v>19</v>
      </c>
      <c r="G249" s="40" t="s">
        <v>22</v>
      </c>
      <c r="H249" s="40" t="s">
        <v>16</v>
      </c>
      <c r="I249" s="40">
        <v>3</v>
      </c>
      <c r="J249" s="40" t="s">
        <v>26</v>
      </c>
      <c r="K249" s="40" t="s">
        <v>46</v>
      </c>
      <c r="L249" s="40">
        <v>16</v>
      </c>
      <c r="M249" s="40">
        <f t="shared" si="6"/>
        <v>0</v>
      </c>
      <c r="N249" s="40">
        <f t="shared" si="7"/>
        <v>1</v>
      </c>
    </row>
    <row r="250" spans="1:14" ht="16" x14ac:dyDescent="0.2">
      <c r="A250" s="40">
        <v>249</v>
      </c>
      <c r="B250" s="40" t="s">
        <v>14</v>
      </c>
      <c r="C250" s="40">
        <v>11.8</v>
      </c>
      <c r="D250" s="40" t="s">
        <v>17</v>
      </c>
      <c r="E250" s="40" t="s">
        <v>17</v>
      </c>
      <c r="F250" s="40" t="s">
        <v>18</v>
      </c>
      <c r="G250" s="40" t="s">
        <v>23</v>
      </c>
      <c r="H250" s="40" t="s">
        <v>16</v>
      </c>
      <c r="I250" s="40">
        <v>2</v>
      </c>
      <c r="J250" s="40" t="s">
        <v>36</v>
      </c>
      <c r="K250" s="40" t="s">
        <v>46</v>
      </c>
      <c r="L250" s="40">
        <v>13</v>
      </c>
      <c r="M250" s="40">
        <f t="shared" si="6"/>
        <v>1</v>
      </c>
      <c r="N250" s="40">
        <f t="shared" si="7"/>
        <v>1</v>
      </c>
    </row>
    <row r="251" spans="1:14" ht="16" x14ac:dyDescent="0.2">
      <c r="A251" s="40">
        <v>250</v>
      </c>
      <c r="B251" s="40" t="s">
        <v>12</v>
      </c>
      <c r="C251" s="40">
        <v>11</v>
      </c>
      <c r="D251" s="40" t="s">
        <v>16</v>
      </c>
      <c r="E251" s="40" t="s">
        <v>16</v>
      </c>
      <c r="F251" s="40" t="s">
        <v>21</v>
      </c>
      <c r="G251" s="40" t="s">
        <v>24</v>
      </c>
      <c r="H251" s="40" t="s">
        <v>16</v>
      </c>
      <c r="I251" s="40">
        <v>5</v>
      </c>
      <c r="J251" s="40" t="s">
        <v>25</v>
      </c>
      <c r="K251" s="40" t="s">
        <v>47</v>
      </c>
      <c r="L251" s="40">
        <v>11</v>
      </c>
      <c r="M251" s="40">
        <f t="shared" si="6"/>
        <v>0</v>
      </c>
      <c r="N251" s="40">
        <f t="shared" si="7"/>
        <v>0</v>
      </c>
    </row>
    <row r="252" spans="1:14" ht="16" x14ac:dyDescent="0.2">
      <c r="A252" s="40">
        <v>251</v>
      </c>
      <c r="B252" s="40" t="s">
        <v>14</v>
      </c>
      <c r="C252" s="40">
        <v>15</v>
      </c>
      <c r="D252" s="40" t="s">
        <v>16</v>
      </c>
      <c r="E252" s="40" t="s">
        <v>17</v>
      </c>
      <c r="F252" s="40" t="s">
        <v>21</v>
      </c>
      <c r="G252" s="40" t="s">
        <v>23</v>
      </c>
      <c r="H252" s="40" t="s">
        <v>16</v>
      </c>
      <c r="I252" s="40">
        <v>5</v>
      </c>
      <c r="J252" s="40" t="s">
        <v>31</v>
      </c>
      <c r="K252" s="40" t="s">
        <v>45</v>
      </c>
      <c r="L252" s="40">
        <v>17</v>
      </c>
      <c r="M252" s="40">
        <f t="shared" si="6"/>
        <v>0</v>
      </c>
      <c r="N252" s="40">
        <f t="shared" si="7"/>
        <v>1</v>
      </c>
    </row>
    <row r="253" spans="1:14" ht="16" x14ac:dyDescent="0.2">
      <c r="A253" s="40">
        <v>252</v>
      </c>
      <c r="B253" s="40" t="s">
        <v>12</v>
      </c>
      <c r="C253" s="40">
        <v>17.899999999999999</v>
      </c>
      <c r="D253" s="40" t="s">
        <v>16</v>
      </c>
      <c r="E253" s="40" t="s">
        <v>17</v>
      </c>
      <c r="F253" s="40" t="s">
        <v>18</v>
      </c>
      <c r="G253" s="40" t="s">
        <v>22</v>
      </c>
      <c r="H253" s="40" t="s">
        <v>16</v>
      </c>
      <c r="I253" s="40">
        <v>3</v>
      </c>
      <c r="J253" s="40" t="s">
        <v>25</v>
      </c>
      <c r="K253" s="40" t="s">
        <v>46</v>
      </c>
      <c r="L253" s="40">
        <v>12</v>
      </c>
      <c r="M253" s="40">
        <f t="shared" si="6"/>
        <v>0</v>
      </c>
      <c r="N253" s="40">
        <f t="shared" si="7"/>
        <v>1</v>
      </c>
    </row>
    <row r="254" spans="1:14" ht="16" x14ac:dyDescent="0.2">
      <c r="A254" s="40">
        <v>253</v>
      </c>
      <c r="B254" s="40" t="s">
        <v>15</v>
      </c>
      <c r="C254" s="40">
        <v>16</v>
      </c>
      <c r="D254" s="40" t="s">
        <v>16</v>
      </c>
      <c r="E254" s="40" t="s">
        <v>17</v>
      </c>
      <c r="F254" s="40" t="s">
        <v>19</v>
      </c>
      <c r="G254" s="40" t="s">
        <v>23</v>
      </c>
      <c r="H254" s="40" t="s">
        <v>17</v>
      </c>
      <c r="I254" s="40">
        <v>4</v>
      </c>
      <c r="J254" s="40" t="s">
        <v>43</v>
      </c>
      <c r="K254" s="40" t="s">
        <v>46</v>
      </c>
      <c r="L254" s="40">
        <v>13</v>
      </c>
      <c r="M254" s="40">
        <f t="shared" si="6"/>
        <v>0</v>
      </c>
      <c r="N254" s="40">
        <f t="shared" si="7"/>
        <v>1</v>
      </c>
    </row>
    <row r="255" spans="1:14" ht="16" x14ac:dyDescent="0.2">
      <c r="A255" s="40">
        <v>254</v>
      </c>
      <c r="B255" s="40" t="s">
        <v>15</v>
      </c>
      <c r="C255" s="40">
        <v>16.399999999999999</v>
      </c>
      <c r="D255" s="40" t="s">
        <v>16</v>
      </c>
      <c r="E255" s="40" t="s">
        <v>17</v>
      </c>
      <c r="F255" s="40" t="s">
        <v>19</v>
      </c>
      <c r="G255" s="40" t="s">
        <v>22</v>
      </c>
      <c r="H255" s="40" t="s">
        <v>16</v>
      </c>
      <c r="I255" s="40">
        <v>1</v>
      </c>
      <c r="J255" s="40" t="s">
        <v>32</v>
      </c>
      <c r="K255" s="40" t="s">
        <v>46</v>
      </c>
      <c r="L255" s="40">
        <v>11</v>
      </c>
      <c r="M255" s="40">
        <f t="shared" si="6"/>
        <v>0</v>
      </c>
      <c r="N255" s="40">
        <f t="shared" si="7"/>
        <v>1</v>
      </c>
    </row>
    <row r="256" spans="1:14" ht="16" x14ac:dyDescent="0.2">
      <c r="A256" s="40">
        <v>255</v>
      </c>
      <c r="B256" s="40" t="s">
        <v>12</v>
      </c>
      <c r="C256" s="40">
        <v>12.7</v>
      </c>
      <c r="D256" s="40" t="s">
        <v>16</v>
      </c>
      <c r="E256" s="40" t="s">
        <v>16</v>
      </c>
      <c r="F256" s="40" t="s">
        <v>21</v>
      </c>
      <c r="G256" s="40" t="s">
        <v>24</v>
      </c>
      <c r="H256" s="40" t="s">
        <v>16</v>
      </c>
      <c r="I256" s="40">
        <v>4</v>
      </c>
      <c r="J256" s="40" t="s">
        <v>25</v>
      </c>
      <c r="K256" s="40" t="s">
        <v>45</v>
      </c>
      <c r="L256" s="40">
        <v>9</v>
      </c>
      <c r="M256" s="40">
        <f t="shared" si="6"/>
        <v>0</v>
      </c>
      <c r="N256" s="40">
        <f t="shared" si="7"/>
        <v>0</v>
      </c>
    </row>
    <row r="257" spans="1:14" ht="16" x14ac:dyDescent="0.2">
      <c r="A257" s="40">
        <v>256</v>
      </c>
      <c r="B257" s="40" t="s">
        <v>14</v>
      </c>
      <c r="C257" s="40">
        <v>15</v>
      </c>
      <c r="D257" s="40" t="s">
        <v>16</v>
      </c>
      <c r="E257" s="40" t="s">
        <v>17</v>
      </c>
      <c r="F257" s="40" t="s">
        <v>20</v>
      </c>
      <c r="G257" s="40" t="s">
        <v>23</v>
      </c>
      <c r="H257" s="40" t="s">
        <v>16</v>
      </c>
      <c r="I257" s="40">
        <v>5</v>
      </c>
      <c r="J257" s="40" t="s">
        <v>26</v>
      </c>
      <c r="K257" s="40" t="s">
        <v>47</v>
      </c>
      <c r="L257" s="40">
        <v>10</v>
      </c>
      <c r="M257" s="40">
        <f t="shared" si="6"/>
        <v>0</v>
      </c>
      <c r="N257" s="40">
        <f t="shared" si="7"/>
        <v>1</v>
      </c>
    </row>
    <row r="258" spans="1:14" ht="16" x14ac:dyDescent="0.2">
      <c r="A258" s="40">
        <v>257</v>
      </c>
      <c r="B258" s="40" t="s">
        <v>15</v>
      </c>
      <c r="C258" s="40">
        <v>9.1</v>
      </c>
      <c r="D258" s="40" t="s">
        <v>16</v>
      </c>
      <c r="E258" s="40" t="s">
        <v>16</v>
      </c>
      <c r="F258" s="40" t="s">
        <v>21</v>
      </c>
      <c r="G258" s="40" t="s">
        <v>23</v>
      </c>
      <c r="H258" s="40" t="s">
        <v>16</v>
      </c>
      <c r="I258" s="40">
        <v>2</v>
      </c>
      <c r="J258" s="40" t="s">
        <v>29</v>
      </c>
      <c r="K258" s="40" t="s">
        <v>46</v>
      </c>
      <c r="L258" s="40">
        <v>14</v>
      </c>
      <c r="M258" s="40">
        <f t="shared" ref="M258:M301" si="8">IF(D258="Yes",1,0)</f>
        <v>0</v>
      </c>
      <c r="N258" s="40">
        <f t="shared" ref="N258:N301" si="9">IF(E258="Yes",1,0)</f>
        <v>0</v>
      </c>
    </row>
    <row r="259" spans="1:14" ht="16" x14ac:dyDescent="0.2">
      <c r="A259" s="40">
        <v>258</v>
      </c>
      <c r="B259" s="40" t="s">
        <v>12</v>
      </c>
      <c r="C259" s="40">
        <v>16</v>
      </c>
      <c r="D259" s="40" t="s">
        <v>16</v>
      </c>
      <c r="E259" s="40" t="s">
        <v>17</v>
      </c>
      <c r="F259" s="40" t="s">
        <v>20</v>
      </c>
      <c r="G259" s="40" t="s">
        <v>23</v>
      </c>
      <c r="H259" s="40" t="s">
        <v>16</v>
      </c>
      <c r="I259" s="40">
        <v>3</v>
      </c>
      <c r="J259" s="40" t="s">
        <v>29</v>
      </c>
      <c r="K259" s="40" t="s">
        <v>46</v>
      </c>
      <c r="L259" s="40">
        <v>8</v>
      </c>
      <c r="M259" s="40">
        <f t="shared" si="8"/>
        <v>0</v>
      </c>
      <c r="N259" s="40">
        <f t="shared" si="9"/>
        <v>1</v>
      </c>
    </row>
    <row r="260" spans="1:14" ht="16" x14ac:dyDescent="0.2">
      <c r="A260" s="40">
        <v>259</v>
      </c>
      <c r="B260" s="40" t="s">
        <v>13</v>
      </c>
      <c r="C260" s="40">
        <v>9.3000000000000007</v>
      </c>
      <c r="D260" s="40" t="s">
        <v>16</v>
      </c>
      <c r="E260" s="40" t="s">
        <v>17</v>
      </c>
      <c r="F260" s="40" t="s">
        <v>18</v>
      </c>
      <c r="G260" s="40" t="s">
        <v>23</v>
      </c>
      <c r="H260" s="40" t="s">
        <v>17</v>
      </c>
      <c r="I260" s="40">
        <v>4</v>
      </c>
      <c r="J260" s="40" t="s">
        <v>39</v>
      </c>
      <c r="K260" s="40" t="s">
        <v>45</v>
      </c>
      <c r="L260" s="40">
        <v>19</v>
      </c>
      <c r="M260" s="40">
        <f t="shared" si="8"/>
        <v>0</v>
      </c>
      <c r="N260" s="40">
        <f t="shared" si="9"/>
        <v>1</v>
      </c>
    </row>
    <row r="261" spans="1:14" ht="16" x14ac:dyDescent="0.2">
      <c r="A261" s="40">
        <v>260</v>
      </c>
      <c r="B261" s="40" t="s">
        <v>14</v>
      </c>
      <c r="C261" s="40">
        <v>5.6</v>
      </c>
      <c r="D261" s="40" t="s">
        <v>16</v>
      </c>
      <c r="E261" s="40" t="s">
        <v>17</v>
      </c>
      <c r="F261" s="40" t="s">
        <v>18</v>
      </c>
      <c r="G261" s="40" t="s">
        <v>23</v>
      </c>
      <c r="H261" s="40" t="s">
        <v>16</v>
      </c>
      <c r="I261" s="40">
        <v>4</v>
      </c>
      <c r="J261" s="40" t="s">
        <v>36</v>
      </c>
      <c r="K261" s="40" t="s">
        <v>47</v>
      </c>
      <c r="L261" s="40">
        <v>16</v>
      </c>
      <c r="M261" s="40">
        <f t="shared" si="8"/>
        <v>0</v>
      </c>
      <c r="N261" s="40">
        <f t="shared" si="9"/>
        <v>1</v>
      </c>
    </row>
    <row r="262" spans="1:14" ht="16" x14ac:dyDescent="0.2">
      <c r="A262" s="40">
        <v>261</v>
      </c>
      <c r="B262" s="40" t="s">
        <v>14</v>
      </c>
      <c r="C262" s="40">
        <v>9.3000000000000007</v>
      </c>
      <c r="D262" s="40" t="s">
        <v>17</v>
      </c>
      <c r="E262" s="40" t="s">
        <v>17</v>
      </c>
      <c r="F262" s="40" t="s">
        <v>18</v>
      </c>
      <c r="G262" s="40" t="s">
        <v>23</v>
      </c>
      <c r="H262" s="40" t="s">
        <v>16</v>
      </c>
      <c r="I262" s="40">
        <v>2</v>
      </c>
      <c r="J262" s="40" t="s">
        <v>38</v>
      </c>
      <c r="K262" s="40" t="s">
        <v>47</v>
      </c>
      <c r="L262" s="40">
        <v>18</v>
      </c>
      <c r="M262" s="40">
        <f t="shared" si="8"/>
        <v>1</v>
      </c>
      <c r="N262" s="40">
        <f t="shared" si="9"/>
        <v>1</v>
      </c>
    </row>
    <row r="263" spans="1:14" ht="16" x14ac:dyDescent="0.2">
      <c r="A263" s="40">
        <v>262</v>
      </c>
      <c r="B263" s="40" t="s">
        <v>13</v>
      </c>
      <c r="C263" s="40">
        <v>3.1</v>
      </c>
      <c r="D263" s="40" t="s">
        <v>17</v>
      </c>
      <c r="E263" s="40" t="s">
        <v>17</v>
      </c>
      <c r="F263" s="40" t="s">
        <v>18</v>
      </c>
      <c r="G263" s="40" t="s">
        <v>23</v>
      </c>
      <c r="H263" s="40" t="s">
        <v>16</v>
      </c>
      <c r="I263" s="40">
        <v>4</v>
      </c>
      <c r="J263" s="40" t="s">
        <v>34</v>
      </c>
      <c r="K263" s="40" t="s">
        <v>45</v>
      </c>
      <c r="L263" s="40">
        <v>12</v>
      </c>
      <c r="M263" s="40">
        <f t="shared" si="8"/>
        <v>1</v>
      </c>
      <c r="N263" s="40">
        <f t="shared" si="9"/>
        <v>1</v>
      </c>
    </row>
    <row r="264" spans="1:14" ht="16" x14ac:dyDescent="0.2">
      <c r="A264" s="40">
        <v>263</v>
      </c>
      <c r="B264" s="40" t="s">
        <v>12</v>
      </c>
      <c r="C264" s="40">
        <v>14.2</v>
      </c>
      <c r="D264" s="40" t="s">
        <v>16</v>
      </c>
      <c r="E264" s="40" t="s">
        <v>17</v>
      </c>
      <c r="F264" s="40" t="s">
        <v>19</v>
      </c>
      <c r="G264" s="40" t="s">
        <v>23</v>
      </c>
      <c r="H264" s="40" t="s">
        <v>16</v>
      </c>
      <c r="I264" s="40">
        <v>3</v>
      </c>
      <c r="J264" s="40" t="s">
        <v>32</v>
      </c>
      <c r="K264" s="40" t="s">
        <v>47</v>
      </c>
      <c r="L264" s="40">
        <v>12</v>
      </c>
      <c r="M264" s="40">
        <f t="shared" si="8"/>
        <v>0</v>
      </c>
      <c r="N264" s="40">
        <f t="shared" si="9"/>
        <v>1</v>
      </c>
    </row>
    <row r="265" spans="1:14" ht="16" x14ac:dyDescent="0.2">
      <c r="A265" s="40">
        <v>264</v>
      </c>
      <c r="B265" s="40" t="s">
        <v>14</v>
      </c>
      <c r="C265" s="40">
        <v>19.2</v>
      </c>
      <c r="D265" s="40" t="s">
        <v>16</v>
      </c>
      <c r="E265" s="40" t="s">
        <v>16</v>
      </c>
      <c r="F265" s="40" t="s">
        <v>18</v>
      </c>
      <c r="G265" s="40" t="s">
        <v>22</v>
      </c>
      <c r="H265" s="40" t="s">
        <v>16</v>
      </c>
      <c r="I265" s="40">
        <v>5</v>
      </c>
      <c r="J265" s="40" t="s">
        <v>26</v>
      </c>
      <c r="K265" s="40" t="s">
        <v>45</v>
      </c>
      <c r="L265" s="40">
        <v>17</v>
      </c>
      <c r="M265" s="40">
        <f t="shared" si="8"/>
        <v>0</v>
      </c>
      <c r="N265" s="40">
        <f t="shared" si="9"/>
        <v>0</v>
      </c>
    </row>
    <row r="266" spans="1:14" ht="16" x14ac:dyDescent="0.2">
      <c r="A266" s="40">
        <v>265</v>
      </c>
      <c r="B266" s="40" t="s">
        <v>13</v>
      </c>
      <c r="C266" s="40">
        <v>8.6</v>
      </c>
      <c r="D266" s="40" t="s">
        <v>16</v>
      </c>
      <c r="E266" s="40" t="s">
        <v>16</v>
      </c>
      <c r="F266" s="40" t="s">
        <v>18</v>
      </c>
      <c r="G266" s="40" t="s">
        <v>24</v>
      </c>
      <c r="H266" s="40" t="s">
        <v>16</v>
      </c>
      <c r="I266" s="40">
        <v>4</v>
      </c>
      <c r="J266" s="40" t="s">
        <v>26</v>
      </c>
      <c r="K266" s="40" t="s">
        <v>46</v>
      </c>
      <c r="L266" s="40">
        <v>16</v>
      </c>
      <c r="M266" s="40">
        <f t="shared" si="8"/>
        <v>0</v>
      </c>
      <c r="N266" s="40">
        <f t="shared" si="9"/>
        <v>0</v>
      </c>
    </row>
    <row r="267" spans="1:14" ht="16" x14ac:dyDescent="0.2">
      <c r="A267" s="40">
        <v>266</v>
      </c>
      <c r="B267" s="40" t="s">
        <v>12</v>
      </c>
      <c r="C267" s="40">
        <v>17.5</v>
      </c>
      <c r="D267" s="40" t="s">
        <v>16</v>
      </c>
      <c r="E267" s="40" t="s">
        <v>17</v>
      </c>
      <c r="F267" s="40" t="s">
        <v>18</v>
      </c>
      <c r="G267" s="40" t="s">
        <v>23</v>
      </c>
      <c r="H267" s="40" t="s">
        <v>16</v>
      </c>
      <c r="I267" s="40">
        <v>3</v>
      </c>
      <c r="J267" s="40" t="s">
        <v>31</v>
      </c>
      <c r="K267" s="40" t="s">
        <v>46</v>
      </c>
      <c r="L267" s="40">
        <v>15</v>
      </c>
      <c r="M267" s="40">
        <f t="shared" si="8"/>
        <v>0</v>
      </c>
      <c r="N267" s="40">
        <f t="shared" si="9"/>
        <v>1</v>
      </c>
    </row>
    <row r="268" spans="1:14" ht="16" x14ac:dyDescent="0.2">
      <c r="A268" s="40">
        <v>267</v>
      </c>
      <c r="B268" s="40" t="s">
        <v>12</v>
      </c>
      <c r="C268" s="40">
        <v>11.3</v>
      </c>
      <c r="D268" s="40" t="s">
        <v>17</v>
      </c>
      <c r="E268" s="40" t="s">
        <v>16</v>
      </c>
      <c r="F268" s="40" t="s">
        <v>20</v>
      </c>
      <c r="G268" s="40" t="s">
        <v>23</v>
      </c>
      <c r="H268" s="40" t="s">
        <v>16</v>
      </c>
      <c r="I268" s="40">
        <v>3</v>
      </c>
      <c r="J268" s="40" t="s">
        <v>29</v>
      </c>
      <c r="K268" s="40" t="s">
        <v>46</v>
      </c>
      <c r="L268" s="40">
        <v>17</v>
      </c>
      <c r="M268" s="40">
        <f t="shared" si="8"/>
        <v>1</v>
      </c>
      <c r="N268" s="40">
        <f t="shared" si="9"/>
        <v>0</v>
      </c>
    </row>
    <row r="269" spans="1:14" ht="16" x14ac:dyDescent="0.2">
      <c r="A269" s="40">
        <v>268</v>
      </c>
      <c r="B269" s="40" t="s">
        <v>12</v>
      </c>
      <c r="C269" s="40">
        <v>13.4</v>
      </c>
      <c r="D269" s="40" t="s">
        <v>16</v>
      </c>
      <c r="E269" s="40" t="s">
        <v>17</v>
      </c>
      <c r="F269" s="40" t="s">
        <v>21</v>
      </c>
      <c r="G269" s="40" t="s">
        <v>23</v>
      </c>
      <c r="H269" s="40" t="s">
        <v>16</v>
      </c>
      <c r="I269" s="40">
        <v>4</v>
      </c>
      <c r="J269" s="40" t="s">
        <v>38</v>
      </c>
      <c r="K269" s="40" t="s">
        <v>47</v>
      </c>
      <c r="L269" s="40">
        <v>9</v>
      </c>
      <c r="M269" s="40">
        <f t="shared" si="8"/>
        <v>0</v>
      </c>
      <c r="N269" s="40">
        <f t="shared" si="9"/>
        <v>1</v>
      </c>
    </row>
    <row r="270" spans="1:14" ht="16" x14ac:dyDescent="0.2">
      <c r="A270" s="40">
        <v>269</v>
      </c>
      <c r="B270" s="40" t="s">
        <v>15</v>
      </c>
      <c r="C270" s="40">
        <v>7.6</v>
      </c>
      <c r="D270" s="40" t="s">
        <v>16</v>
      </c>
      <c r="E270" s="40" t="s">
        <v>16</v>
      </c>
      <c r="F270" s="40" t="s">
        <v>18</v>
      </c>
      <c r="G270" s="40" t="s">
        <v>22</v>
      </c>
      <c r="H270" s="40" t="s">
        <v>16</v>
      </c>
      <c r="I270" s="40">
        <v>4</v>
      </c>
      <c r="J270" s="40" t="s">
        <v>32</v>
      </c>
      <c r="K270" s="40" t="s">
        <v>45</v>
      </c>
      <c r="L270" s="40">
        <v>18</v>
      </c>
      <c r="M270" s="40">
        <f t="shared" si="8"/>
        <v>0</v>
      </c>
      <c r="N270" s="40">
        <f t="shared" si="9"/>
        <v>0</v>
      </c>
    </row>
    <row r="271" spans="1:14" ht="16" x14ac:dyDescent="0.2">
      <c r="A271" s="40">
        <v>270</v>
      </c>
      <c r="B271" s="40" t="s">
        <v>15</v>
      </c>
      <c r="C271" s="40">
        <v>5.6</v>
      </c>
      <c r="D271" s="40" t="s">
        <v>16</v>
      </c>
      <c r="E271" s="40" t="s">
        <v>17</v>
      </c>
      <c r="F271" s="40" t="s">
        <v>19</v>
      </c>
      <c r="G271" s="40" t="s">
        <v>23</v>
      </c>
      <c r="H271" s="40" t="s">
        <v>16</v>
      </c>
      <c r="I271" s="40">
        <v>4</v>
      </c>
      <c r="J271" s="40" t="s">
        <v>38</v>
      </c>
      <c r="K271" s="40" t="s">
        <v>46</v>
      </c>
      <c r="L271" s="40">
        <v>13</v>
      </c>
      <c r="M271" s="40">
        <f t="shared" si="8"/>
        <v>0</v>
      </c>
      <c r="N271" s="40">
        <f t="shared" si="9"/>
        <v>1</v>
      </c>
    </row>
    <row r="272" spans="1:14" ht="16" x14ac:dyDescent="0.2">
      <c r="A272" s="40">
        <v>271</v>
      </c>
      <c r="B272" s="40" t="s">
        <v>15</v>
      </c>
      <c r="C272" s="40">
        <v>17.5</v>
      </c>
      <c r="D272" s="40" t="s">
        <v>16</v>
      </c>
      <c r="E272" s="40" t="s">
        <v>17</v>
      </c>
      <c r="F272" s="40" t="s">
        <v>18</v>
      </c>
      <c r="G272" s="40" t="s">
        <v>23</v>
      </c>
      <c r="H272" s="40" t="s">
        <v>16</v>
      </c>
      <c r="I272" s="40">
        <v>4</v>
      </c>
      <c r="J272" s="40" t="s">
        <v>29</v>
      </c>
      <c r="K272" s="40" t="s">
        <v>47</v>
      </c>
      <c r="L272" s="40">
        <v>18</v>
      </c>
      <c r="M272" s="40">
        <f t="shared" si="8"/>
        <v>0</v>
      </c>
      <c r="N272" s="40">
        <f t="shared" si="9"/>
        <v>1</v>
      </c>
    </row>
    <row r="273" spans="1:14" ht="16" x14ac:dyDescent="0.2">
      <c r="A273" s="40">
        <v>272</v>
      </c>
      <c r="B273" s="40" t="s">
        <v>15</v>
      </c>
      <c r="C273" s="40">
        <v>11.5</v>
      </c>
      <c r="D273" s="40" t="s">
        <v>16</v>
      </c>
      <c r="E273" s="40" t="s">
        <v>16</v>
      </c>
      <c r="F273" s="40" t="s">
        <v>21</v>
      </c>
      <c r="G273" s="40" t="s">
        <v>22</v>
      </c>
      <c r="H273" s="40" t="s">
        <v>17</v>
      </c>
      <c r="I273" s="40">
        <v>4</v>
      </c>
      <c r="J273" s="40" t="s">
        <v>27</v>
      </c>
      <c r="K273" s="40" t="s">
        <v>47</v>
      </c>
      <c r="L273" s="40">
        <v>13</v>
      </c>
      <c r="M273" s="40">
        <f t="shared" si="8"/>
        <v>0</v>
      </c>
      <c r="N273" s="40">
        <f t="shared" si="9"/>
        <v>0</v>
      </c>
    </row>
    <row r="274" spans="1:14" ht="16" x14ac:dyDescent="0.2">
      <c r="A274" s="40">
        <v>273</v>
      </c>
      <c r="B274" s="40" t="s">
        <v>15</v>
      </c>
      <c r="C274" s="40">
        <v>2.4</v>
      </c>
      <c r="D274" s="40" t="s">
        <v>17</v>
      </c>
      <c r="E274" s="40" t="s">
        <v>17</v>
      </c>
      <c r="F274" s="40" t="s">
        <v>19</v>
      </c>
      <c r="G274" s="40" t="s">
        <v>23</v>
      </c>
      <c r="H274" s="40" t="s">
        <v>16</v>
      </c>
      <c r="I274" s="40">
        <v>4</v>
      </c>
      <c r="J274" s="40" t="s">
        <v>41</v>
      </c>
      <c r="K274" s="40" t="s">
        <v>46</v>
      </c>
      <c r="L274" s="40">
        <v>9</v>
      </c>
      <c r="M274" s="40">
        <f t="shared" si="8"/>
        <v>1</v>
      </c>
      <c r="N274" s="40">
        <f t="shared" si="9"/>
        <v>1</v>
      </c>
    </row>
    <row r="275" spans="1:14" ht="16" x14ac:dyDescent="0.2">
      <c r="A275" s="40">
        <v>274</v>
      </c>
      <c r="B275" s="40" t="s">
        <v>12</v>
      </c>
      <c r="C275" s="40">
        <v>15.3</v>
      </c>
      <c r="D275" s="40" t="s">
        <v>16</v>
      </c>
      <c r="E275" s="40" t="s">
        <v>17</v>
      </c>
      <c r="F275" s="40" t="s">
        <v>20</v>
      </c>
      <c r="G275" s="40" t="s">
        <v>22</v>
      </c>
      <c r="H275" s="40" t="s">
        <v>16</v>
      </c>
      <c r="I275" s="40">
        <v>1</v>
      </c>
      <c r="J275" s="40" t="s">
        <v>27</v>
      </c>
      <c r="K275" s="40" t="s">
        <v>45</v>
      </c>
      <c r="L275" s="40">
        <v>9</v>
      </c>
      <c r="M275" s="40">
        <f t="shared" si="8"/>
        <v>0</v>
      </c>
      <c r="N275" s="40">
        <f t="shared" si="9"/>
        <v>1</v>
      </c>
    </row>
    <row r="276" spans="1:14" ht="16" x14ac:dyDescent="0.2">
      <c r="A276" s="40">
        <v>275</v>
      </c>
      <c r="B276" s="40" t="s">
        <v>13</v>
      </c>
      <c r="C276" s="40">
        <v>18.5</v>
      </c>
      <c r="D276" s="40" t="s">
        <v>17</v>
      </c>
      <c r="E276" s="40" t="s">
        <v>17</v>
      </c>
      <c r="F276" s="40" t="s">
        <v>19</v>
      </c>
      <c r="G276" s="40" t="s">
        <v>23</v>
      </c>
      <c r="H276" s="40" t="s">
        <v>16</v>
      </c>
      <c r="I276" s="40">
        <v>5</v>
      </c>
      <c r="J276" s="40" t="s">
        <v>27</v>
      </c>
      <c r="K276" s="40" t="s">
        <v>46</v>
      </c>
      <c r="L276" s="40">
        <v>14</v>
      </c>
      <c r="M276" s="40">
        <f t="shared" si="8"/>
        <v>1</v>
      </c>
      <c r="N276" s="40">
        <f t="shared" si="9"/>
        <v>1</v>
      </c>
    </row>
    <row r="277" spans="1:14" ht="16" x14ac:dyDescent="0.2">
      <c r="A277" s="40">
        <v>276</v>
      </c>
      <c r="B277" s="40" t="s">
        <v>13</v>
      </c>
      <c r="C277" s="40">
        <v>18.3</v>
      </c>
      <c r="D277" s="40" t="s">
        <v>17</v>
      </c>
      <c r="E277" s="40" t="s">
        <v>17</v>
      </c>
      <c r="F277" s="40" t="s">
        <v>21</v>
      </c>
      <c r="G277" s="40" t="s">
        <v>23</v>
      </c>
      <c r="H277" s="40" t="s">
        <v>17</v>
      </c>
      <c r="I277" s="40">
        <v>3</v>
      </c>
      <c r="J277" s="40" t="s">
        <v>34</v>
      </c>
      <c r="K277" s="40" t="s">
        <v>45</v>
      </c>
      <c r="L277" s="40">
        <v>15</v>
      </c>
      <c r="M277" s="40">
        <f t="shared" si="8"/>
        <v>1</v>
      </c>
      <c r="N277" s="40">
        <f t="shared" si="9"/>
        <v>1</v>
      </c>
    </row>
    <row r="278" spans="1:14" ht="16" x14ac:dyDescent="0.2">
      <c r="A278" s="40">
        <v>277</v>
      </c>
      <c r="B278" s="40" t="s">
        <v>15</v>
      </c>
      <c r="C278" s="40">
        <v>6.7</v>
      </c>
      <c r="D278" s="40" t="s">
        <v>17</v>
      </c>
      <c r="E278" s="40" t="s">
        <v>16</v>
      </c>
      <c r="F278" s="40" t="s">
        <v>19</v>
      </c>
      <c r="G278" s="40" t="s">
        <v>22</v>
      </c>
      <c r="H278" s="40" t="s">
        <v>16</v>
      </c>
      <c r="I278" s="40">
        <v>4</v>
      </c>
      <c r="J278" s="40" t="s">
        <v>35</v>
      </c>
      <c r="K278" s="40" t="s">
        <v>45</v>
      </c>
      <c r="L278" s="40">
        <v>17</v>
      </c>
      <c r="M278" s="40">
        <f t="shared" si="8"/>
        <v>1</v>
      </c>
      <c r="N278" s="40">
        <f t="shared" si="9"/>
        <v>0</v>
      </c>
    </row>
    <row r="279" spans="1:14" ht="16" x14ac:dyDescent="0.2">
      <c r="A279" s="40">
        <v>278</v>
      </c>
      <c r="B279" s="40" t="s">
        <v>13</v>
      </c>
      <c r="C279" s="40">
        <v>17.100000000000001</v>
      </c>
      <c r="D279" s="40" t="s">
        <v>16</v>
      </c>
      <c r="E279" s="40" t="s">
        <v>17</v>
      </c>
      <c r="F279" s="40" t="s">
        <v>19</v>
      </c>
      <c r="G279" s="40" t="s">
        <v>23</v>
      </c>
      <c r="H279" s="40" t="s">
        <v>16</v>
      </c>
      <c r="I279" s="40">
        <v>4</v>
      </c>
      <c r="J279" s="40" t="s">
        <v>28</v>
      </c>
      <c r="K279" s="40" t="s">
        <v>47</v>
      </c>
      <c r="L279" s="40">
        <v>11</v>
      </c>
      <c r="M279" s="40">
        <f t="shared" si="8"/>
        <v>0</v>
      </c>
      <c r="N279" s="40">
        <f t="shared" si="9"/>
        <v>1</v>
      </c>
    </row>
    <row r="280" spans="1:14" ht="16" x14ac:dyDescent="0.2">
      <c r="A280" s="40">
        <v>279</v>
      </c>
      <c r="B280" s="40" t="s">
        <v>14</v>
      </c>
      <c r="C280" s="40">
        <v>8.1999999999999993</v>
      </c>
      <c r="D280" s="40" t="s">
        <v>16</v>
      </c>
      <c r="E280" s="40" t="s">
        <v>17</v>
      </c>
      <c r="F280" s="40" t="s">
        <v>18</v>
      </c>
      <c r="G280" s="40" t="s">
        <v>24</v>
      </c>
      <c r="H280" s="40" t="s">
        <v>16</v>
      </c>
      <c r="I280" s="40">
        <v>4</v>
      </c>
      <c r="J280" s="40" t="s">
        <v>41</v>
      </c>
      <c r="K280" s="40" t="s">
        <v>47</v>
      </c>
      <c r="L280" s="40">
        <v>18</v>
      </c>
      <c r="M280" s="40">
        <f t="shared" si="8"/>
        <v>0</v>
      </c>
      <c r="N280" s="40">
        <f t="shared" si="9"/>
        <v>1</v>
      </c>
    </row>
    <row r="281" spans="1:14" ht="16" x14ac:dyDescent="0.2">
      <c r="A281" s="40">
        <v>280</v>
      </c>
      <c r="B281" s="40" t="s">
        <v>15</v>
      </c>
      <c r="C281" s="40">
        <v>4.3</v>
      </c>
      <c r="D281" s="40" t="s">
        <v>16</v>
      </c>
      <c r="E281" s="40" t="s">
        <v>17</v>
      </c>
      <c r="F281" s="40" t="s">
        <v>18</v>
      </c>
      <c r="G281" s="40" t="s">
        <v>23</v>
      </c>
      <c r="H281" s="40" t="s">
        <v>16</v>
      </c>
      <c r="I281" s="40">
        <v>3</v>
      </c>
      <c r="J281" s="40" t="s">
        <v>26</v>
      </c>
      <c r="K281" s="40" t="s">
        <v>46</v>
      </c>
      <c r="L281" s="40">
        <v>14</v>
      </c>
      <c r="M281" s="40">
        <f t="shared" si="8"/>
        <v>0</v>
      </c>
      <c r="N281" s="40">
        <f t="shared" si="9"/>
        <v>1</v>
      </c>
    </row>
    <row r="282" spans="1:14" ht="16" x14ac:dyDescent="0.2">
      <c r="A282" s="40">
        <v>281</v>
      </c>
      <c r="B282" s="40" t="s">
        <v>12</v>
      </c>
      <c r="C282" s="40">
        <v>8.4</v>
      </c>
      <c r="D282" s="40" t="s">
        <v>16</v>
      </c>
      <c r="E282" s="40" t="s">
        <v>17</v>
      </c>
      <c r="F282" s="40" t="s">
        <v>21</v>
      </c>
      <c r="G282" s="40" t="s">
        <v>23</v>
      </c>
      <c r="H282" s="40" t="s">
        <v>16</v>
      </c>
      <c r="I282" s="40">
        <v>2</v>
      </c>
      <c r="J282" s="40" t="s">
        <v>35</v>
      </c>
      <c r="K282" s="40" t="s">
        <v>47</v>
      </c>
      <c r="L282" s="40">
        <v>17</v>
      </c>
      <c r="M282" s="40">
        <f t="shared" si="8"/>
        <v>0</v>
      </c>
      <c r="N282" s="40">
        <f t="shared" si="9"/>
        <v>1</v>
      </c>
    </row>
    <row r="283" spans="1:14" ht="16" x14ac:dyDescent="0.2">
      <c r="A283" s="40">
        <v>282</v>
      </c>
      <c r="B283" s="40" t="s">
        <v>14</v>
      </c>
      <c r="C283" s="40">
        <v>6.9</v>
      </c>
      <c r="D283" s="40" t="s">
        <v>16</v>
      </c>
      <c r="E283" s="40" t="s">
        <v>17</v>
      </c>
      <c r="F283" s="40" t="s">
        <v>19</v>
      </c>
      <c r="G283" s="40" t="s">
        <v>23</v>
      </c>
      <c r="H283" s="40" t="s">
        <v>16</v>
      </c>
      <c r="I283" s="40">
        <v>5</v>
      </c>
      <c r="J283" s="40" t="s">
        <v>27</v>
      </c>
      <c r="K283" s="40" t="s">
        <v>47</v>
      </c>
      <c r="L283" s="40">
        <v>11</v>
      </c>
      <c r="M283" s="40">
        <f t="shared" si="8"/>
        <v>0</v>
      </c>
      <c r="N283" s="40">
        <f t="shared" si="9"/>
        <v>1</v>
      </c>
    </row>
    <row r="284" spans="1:14" ht="16" x14ac:dyDescent="0.2">
      <c r="A284" s="40">
        <v>283</v>
      </c>
      <c r="B284" s="40" t="s">
        <v>13</v>
      </c>
      <c r="C284" s="40">
        <v>17</v>
      </c>
      <c r="D284" s="40" t="s">
        <v>16</v>
      </c>
      <c r="E284" s="40" t="s">
        <v>17</v>
      </c>
      <c r="F284" s="40" t="s">
        <v>21</v>
      </c>
      <c r="G284" s="40" t="s">
        <v>23</v>
      </c>
      <c r="H284" s="40" t="s">
        <v>16</v>
      </c>
      <c r="I284" s="40">
        <v>4</v>
      </c>
      <c r="J284" s="40" t="s">
        <v>44</v>
      </c>
      <c r="K284" s="40" t="s">
        <v>45</v>
      </c>
      <c r="L284" s="40">
        <v>17</v>
      </c>
      <c r="M284" s="40">
        <f t="shared" si="8"/>
        <v>0</v>
      </c>
      <c r="N284" s="40">
        <f t="shared" si="9"/>
        <v>1</v>
      </c>
    </row>
    <row r="285" spans="1:14" ht="16" x14ac:dyDescent="0.2">
      <c r="A285" s="40">
        <v>284</v>
      </c>
      <c r="B285" s="40" t="s">
        <v>13</v>
      </c>
      <c r="C285" s="40">
        <v>13.6</v>
      </c>
      <c r="D285" s="40" t="s">
        <v>16</v>
      </c>
      <c r="E285" s="40" t="s">
        <v>17</v>
      </c>
      <c r="F285" s="40" t="s">
        <v>18</v>
      </c>
      <c r="G285" s="40" t="s">
        <v>22</v>
      </c>
      <c r="H285" s="40" t="s">
        <v>16</v>
      </c>
      <c r="I285" s="40">
        <v>5</v>
      </c>
      <c r="J285" s="40" t="s">
        <v>41</v>
      </c>
      <c r="K285" s="40" t="s">
        <v>47</v>
      </c>
      <c r="L285" s="40">
        <v>9</v>
      </c>
      <c r="M285" s="40">
        <f t="shared" si="8"/>
        <v>0</v>
      </c>
      <c r="N285" s="40">
        <f t="shared" si="9"/>
        <v>1</v>
      </c>
    </row>
    <row r="286" spans="1:14" ht="16" x14ac:dyDescent="0.2">
      <c r="A286" s="40">
        <v>285</v>
      </c>
      <c r="B286" s="40" t="s">
        <v>15</v>
      </c>
      <c r="C286" s="40">
        <v>2</v>
      </c>
      <c r="D286" s="40" t="s">
        <v>16</v>
      </c>
      <c r="E286" s="40" t="s">
        <v>17</v>
      </c>
      <c r="F286" s="40" t="s">
        <v>19</v>
      </c>
      <c r="G286" s="40" t="s">
        <v>23</v>
      </c>
      <c r="H286" s="40" t="s">
        <v>16</v>
      </c>
      <c r="I286" s="40">
        <v>3</v>
      </c>
      <c r="J286" s="40" t="s">
        <v>31</v>
      </c>
      <c r="K286" s="40" t="s">
        <v>47</v>
      </c>
      <c r="L286" s="40">
        <v>19</v>
      </c>
      <c r="M286" s="40">
        <f t="shared" si="8"/>
        <v>0</v>
      </c>
      <c r="N286" s="40">
        <f t="shared" si="9"/>
        <v>1</v>
      </c>
    </row>
    <row r="287" spans="1:14" ht="16" x14ac:dyDescent="0.2">
      <c r="A287" s="40">
        <v>286</v>
      </c>
      <c r="B287" s="40" t="s">
        <v>15</v>
      </c>
      <c r="C287" s="40">
        <v>2.2999999999999998</v>
      </c>
      <c r="D287" s="40" t="s">
        <v>16</v>
      </c>
      <c r="E287" s="40" t="s">
        <v>17</v>
      </c>
      <c r="F287" s="40" t="s">
        <v>21</v>
      </c>
      <c r="G287" s="40" t="s">
        <v>23</v>
      </c>
      <c r="H287" s="40" t="s">
        <v>16</v>
      </c>
      <c r="I287" s="40">
        <v>5</v>
      </c>
      <c r="J287" s="40" t="s">
        <v>44</v>
      </c>
      <c r="K287" s="40" t="s">
        <v>47</v>
      </c>
      <c r="L287" s="40">
        <v>10</v>
      </c>
      <c r="M287" s="40">
        <f t="shared" si="8"/>
        <v>0</v>
      </c>
      <c r="N287" s="40">
        <f t="shared" si="9"/>
        <v>1</v>
      </c>
    </row>
    <row r="288" spans="1:14" ht="16" x14ac:dyDescent="0.2">
      <c r="A288" s="40">
        <v>287</v>
      </c>
      <c r="B288" s="40" t="s">
        <v>13</v>
      </c>
      <c r="C288" s="40">
        <v>17</v>
      </c>
      <c r="D288" s="40" t="s">
        <v>16</v>
      </c>
      <c r="E288" s="40" t="s">
        <v>17</v>
      </c>
      <c r="F288" s="40" t="s">
        <v>18</v>
      </c>
      <c r="G288" s="40" t="s">
        <v>23</v>
      </c>
      <c r="H288" s="40" t="s">
        <v>17</v>
      </c>
      <c r="I288" s="40">
        <v>2</v>
      </c>
      <c r="J288" s="40" t="s">
        <v>31</v>
      </c>
      <c r="K288" s="40" t="s">
        <v>45</v>
      </c>
      <c r="L288" s="40">
        <v>10</v>
      </c>
      <c r="M288" s="40">
        <f t="shared" si="8"/>
        <v>0</v>
      </c>
      <c r="N288" s="40">
        <f t="shared" si="9"/>
        <v>1</v>
      </c>
    </row>
    <row r="289" spans="1:14" ht="16" x14ac:dyDescent="0.2">
      <c r="A289" s="40">
        <v>288</v>
      </c>
      <c r="B289" s="40" t="s">
        <v>13</v>
      </c>
      <c r="C289" s="40">
        <v>10.8</v>
      </c>
      <c r="D289" s="40" t="s">
        <v>16</v>
      </c>
      <c r="E289" s="40" t="s">
        <v>17</v>
      </c>
      <c r="F289" s="40" t="s">
        <v>20</v>
      </c>
      <c r="G289" s="40" t="s">
        <v>23</v>
      </c>
      <c r="H289" s="40" t="s">
        <v>16</v>
      </c>
      <c r="I289" s="40">
        <v>4</v>
      </c>
      <c r="J289" s="40" t="s">
        <v>27</v>
      </c>
      <c r="K289" s="40" t="s">
        <v>45</v>
      </c>
      <c r="L289" s="40">
        <v>13</v>
      </c>
      <c r="M289" s="40">
        <f t="shared" si="8"/>
        <v>0</v>
      </c>
      <c r="N289" s="40">
        <f t="shared" si="9"/>
        <v>1</v>
      </c>
    </row>
    <row r="290" spans="1:14" ht="16" x14ac:dyDescent="0.2">
      <c r="A290" s="40">
        <v>289</v>
      </c>
      <c r="B290" s="40" t="s">
        <v>15</v>
      </c>
      <c r="C290" s="40">
        <v>3.5</v>
      </c>
      <c r="D290" s="40" t="s">
        <v>16</v>
      </c>
      <c r="E290" s="40" t="s">
        <v>17</v>
      </c>
      <c r="F290" s="40" t="s">
        <v>21</v>
      </c>
      <c r="G290" s="40" t="s">
        <v>23</v>
      </c>
      <c r="H290" s="40" t="s">
        <v>16</v>
      </c>
      <c r="I290" s="40">
        <v>4</v>
      </c>
      <c r="J290" s="40" t="s">
        <v>43</v>
      </c>
      <c r="K290" s="40" t="s">
        <v>46</v>
      </c>
      <c r="L290" s="40">
        <v>17</v>
      </c>
      <c r="M290" s="40">
        <f t="shared" si="8"/>
        <v>0</v>
      </c>
      <c r="N290" s="40">
        <f t="shared" si="9"/>
        <v>1</v>
      </c>
    </row>
    <row r="291" spans="1:14" ht="16" x14ac:dyDescent="0.2">
      <c r="A291" s="40">
        <v>290</v>
      </c>
      <c r="B291" s="40" t="s">
        <v>14</v>
      </c>
      <c r="C291" s="40">
        <v>4</v>
      </c>
      <c r="D291" s="40" t="s">
        <v>16</v>
      </c>
      <c r="E291" s="40" t="s">
        <v>17</v>
      </c>
      <c r="F291" s="40" t="s">
        <v>20</v>
      </c>
      <c r="G291" s="40" t="s">
        <v>23</v>
      </c>
      <c r="H291" s="40" t="s">
        <v>16</v>
      </c>
      <c r="I291" s="40">
        <v>4</v>
      </c>
      <c r="J291" s="40" t="s">
        <v>30</v>
      </c>
      <c r="K291" s="40" t="s">
        <v>47</v>
      </c>
      <c r="L291" s="40">
        <v>14</v>
      </c>
      <c r="M291" s="40">
        <f t="shared" si="8"/>
        <v>0</v>
      </c>
      <c r="N291" s="40">
        <f t="shared" si="9"/>
        <v>1</v>
      </c>
    </row>
    <row r="292" spans="1:14" ht="16" x14ac:dyDescent="0.2">
      <c r="A292" s="40">
        <v>291</v>
      </c>
      <c r="B292" s="40" t="s">
        <v>12</v>
      </c>
      <c r="C292" s="40">
        <v>4.5999999999999996</v>
      </c>
      <c r="D292" s="40" t="s">
        <v>17</v>
      </c>
      <c r="E292" s="40" t="s">
        <v>17</v>
      </c>
      <c r="F292" s="40" t="s">
        <v>19</v>
      </c>
      <c r="G292" s="40" t="s">
        <v>23</v>
      </c>
      <c r="H292" s="40" t="s">
        <v>16</v>
      </c>
      <c r="I292" s="40">
        <v>5</v>
      </c>
      <c r="J292" s="40" t="s">
        <v>31</v>
      </c>
      <c r="K292" s="40" t="s">
        <v>45</v>
      </c>
      <c r="L292" s="40">
        <v>11</v>
      </c>
      <c r="M292" s="40">
        <f t="shared" si="8"/>
        <v>1</v>
      </c>
      <c r="N292" s="40">
        <f t="shared" si="9"/>
        <v>1</v>
      </c>
    </row>
    <row r="293" spans="1:14" ht="16" x14ac:dyDescent="0.2">
      <c r="A293" s="40">
        <v>292</v>
      </c>
      <c r="B293" s="40" t="s">
        <v>14</v>
      </c>
      <c r="C293" s="40">
        <v>15</v>
      </c>
      <c r="D293" s="40" t="s">
        <v>17</v>
      </c>
      <c r="E293" s="40" t="s">
        <v>17</v>
      </c>
      <c r="F293" s="40" t="s">
        <v>18</v>
      </c>
      <c r="G293" s="40" t="s">
        <v>23</v>
      </c>
      <c r="H293" s="40" t="s">
        <v>16</v>
      </c>
      <c r="I293" s="40">
        <v>5</v>
      </c>
      <c r="J293" s="40" t="s">
        <v>36</v>
      </c>
      <c r="K293" s="40" t="s">
        <v>47</v>
      </c>
      <c r="L293" s="40">
        <v>10</v>
      </c>
      <c r="M293" s="40">
        <f t="shared" si="8"/>
        <v>1</v>
      </c>
      <c r="N293" s="40">
        <f t="shared" si="9"/>
        <v>1</v>
      </c>
    </row>
    <row r="294" spans="1:14" ht="16" x14ac:dyDescent="0.2">
      <c r="A294" s="40">
        <v>293</v>
      </c>
      <c r="B294" s="40" t="s">
        <v>12</v>
      </c>
      <c r="C294" s="40">
        <v>16.5</v>
      </c>
      <c r="D294" s="40" t="s">
        <v>16</v>
      </c>
      <c r="E294" s="40" t="s">
        <v>16</v>
      </c>
      <c r="F294" s="40" t="s">
        <v>21</v>
      </c>
      <c r="G294" s="40" t="s">
        <v>23</v>
      </c>
      <c r="H294" s="40" t="s">
        <v>16</v>
      </c>
      <c r="I294" s="40">
        <v>4</v>
      </c>
      <c r="J294" s="40" t="s">
        <v>41</v>
      </c>
      <c r="K294" s="40" t="s">
        <v>45</v>
      </c>
      <c r="L294" s="40">
        <v>19</v>
      </c>
      <c r="M294" s="40">
        <f t="shared" si="8"/>
        <v>0</v>
      </c>
      <c r="N294" s="40">
        <f t="shared" si="9"/>
        <v>0</v>
      </c>
    </row>
    <row r="295" spans="1:14" ht="16" x14ac:dyDescent="0.2">
      <c r="A295" s="40">
        <v>294</v>
      </c>
      <c r="B295" s="40" t="s">
        <v>12</v>
      </c>
      <c r="C295" s="40">
        <v>17.8</v>
      </c>
      <c r="D295" s="40" t="s">
        <v>16</v>
      </c>
      <c r="E295" s="40" t="s">
        <v>16</v>
      </c>
      <c r="F295" s="40" t="s">
        <v>19</v>
      </c>
      <c r="G295" s="40" t="s">
        <v>23</v>
      </c>
      <c r="H295" s="40" t="s">
        <v>17</v>
      </c>
      <c r="I295" s="40">
        <v>3</v>
      </c>
      <c r="J295" s="40" t="s">
        <v>37</v>
      </c>
      <c r="K295" s="40" t="s">
        <v>47</v>
      </c>
      <c r="L295" s="40">
        <v>12</v>
      </c>
      <c r="M295" s="40">
        <f t="shared" si="8"/>
        <v>0</v>
      </c>
      <c r="N295" s="40">
        <f t="shared" si="9"/>
        <v>0</v>
      </c>
    </row>
    <row r="296" spans="1:14" ht="16" x14ac:dyDescent="0.2">
      <c r="A296" s="40">
        <v>295</v>
      </c>
      <c r="B296" s="40" t="s">
        <v>13</v>
      </c>
      <c r="C296" s="40">
        <v>2</v>
      </c>
      <c r="D296" s="40" t="s">
        <v>16</v>
      </c>
      <c r="E296" s="40" t="s">
        <v>17</v>
      </c>
      <c r="F296" s="40" t="s">
        <v>18</v>
      </c>
      <c r="G296" s="40" t="s">
        <v>22</v>
      </c>
      <c r="H296" s="40" t="s">
        <v>16</v>
      </c>
      <c r="I296" s="40">
        <v>3</v>
      </c>
      <c r="J296" s="40" t="s">
        <v>29</v>
      </c>
      <c r="K296" s="40" t="s">
        <v>46</v>
      </c>
      <c r="L296" s="40">
        <v>8</v>
      </c>
      <c r="M296" s="40">
        <f t="shared" si="8"/>
        <v>0</v>
      </c>
      <c r="N296" s="40">
        <f t="shared" si="9"/>
        <v>1</v>
      </c>
    </row>
    <row r="297" spans="1:14" ht="16" x14ac:dyDescent="0.2">
      <c r="A297" s="40">
        <v>296</v>
      </c>
      <c r="B297" s="40" t="s">
        <v>13</v>
      </c>
      <c r="C297" s="40">
        <v>3.2</v>
      </c>
      <c r="D297" s="40" t="s">
        <v>16</v>
      </c>
      <c r="E297" s="40" t="s">
        <v>17</v>
      </c>
      <c r="F297" s="40" t="s">
        <v>20</v>
      </c>
      <c r="G297" s="40" t="s">
        <v>23</v>
      </c>
      <c r="H297" s="40" t="s">
        <v>16</v>
      </c>
      <c r="I297" s="40">
        <v>3</v>
      </c>
      <c r="J297" s="40" t="s">
        <v>27</v>
      </c>
      <c r="K297" s="40" t="s">
        <v>47</v>
      </c>
      <c r="L297" s="40">
        <v>8</v>
      </c>
      <c r="M297" s="40">
        <f t="shared" si="8"/>
        <v>0</v>
      </c>
      <c r="N297" s="40">
        <f t="shared" si="9"/>
        <v>1</v>
      </c>
    </row>
    <row r="298" spans="1:14" ht="16" x14ac:dyDescent="0.2">
      <c r="A298" s="40">
        <v>297</v>
      </c>
      <c r="B298" s="40" t="s">
        <v>12</v>
      </c>
      <c r="C298" s="40">
        <v>14.8</v>
      </c>
      <c r="D298" s="40" t="s">
        <v>17</v>
      </c>
      <c r="E298" s="40" t="s">
        <v>17</v>
      </c>
      <c r="F298" s="40" t="s">
        <v>21</v>
      </c>
      <c r="G298" s="40" t="s">
        <v>23</v>
      </c>
      <c r="H298" s="40" t="s">
        <v>16</v>
      </c>
      <c r="I298" s="40">
        <v>3</v>
      </c>
      <c r="J298" s="40" t="s">
        <v>35</v>
      </c>
      <c r="K298" s="40" t="s">
        <v>47</v>
      </c>
      <c r="L298" s="40">
        <v>10</v>
      </c>
      <c r="M298" s="40">
        <f t="shared" si="8"/>
        <v>1</v>
      </c>
      <c r="N298" s="40">
        <f t="shared" si="9"/>
        <v>1</v>
      </c>
    </row>
    <row r="299" spans="1:14" ht="16" x14ac:dyDescent="0.2">
      <c r="A299" s="40">
        <v>298</v>
      </c>
      <c r="B299" s="40" t="s">
        <v>12</v>
      </c>
      <c r="C299" s="40">
        <v>2.7</v>
      </c>
      <c r="D299" s="40" t="s">
        <v>16</v>
      </c>
      <c r="E299" s="40" t="s">
        <v>16</v>
      </c>
      <c r="F299" s="40" t="s">
        <v>20</v>
      </c>
      <c r="G299" s="40" t="s">
        <v>24</v>
      </c>
      <c r="H299" s="40" t="s">
        <v>16</v>
      </c>
      <c r="I299" s="40">
        <v>4</v>
      </c>
      <c r="J299" s="40" t="s">
        <v>31</v>
      </c>
      <c r="K299" s="40" t="s">
        <v>47</v>
      </c>
      <c r="L299" s="40">
        <v>18</v>
      </c>
      <c r="M299" s="40">
        <f t="shared" si="8"/>
        <v>0</v>
      </c>
      <c r="N299" s="40">
        <f t="shared" si="9"/>
        <v>0</v>
      </c>
    </row>
    <row r="300" spans="1:14" ht="16" x14ac:dyDescent="0.2">
      <c r="A300" s="40">
        <v>299</v>
      </c>
      <c r="B300" s="40" t="s">
        <v>13</v>
      </c>
      <c r="C300" s="40">
        <v>3.5</v>
      </c>
      <c r="D300" s="40" t="s">
        <v>17</v>
      </c>
      <c r="E300" s="40" t="s">
        <v>17</v>
      </c>
      <c r="F300" s="40" t="s">
        <v>21</v>
      </c>
      <c r="G300" s="40" t="s">
        <v>23</v>
      </c>
      <c r="H300" s="40" t="s">
        <v>16</v>
      </c>
      <c r="I300" s="40">
        <v>5</v>
      </c>
      <c r="J300" s="40" t="s">
        <v>35</v>
      </c>
      <c r="K300" s="40" t="s">
        <v>45</v>
      </c>
      <c r="L300" s="40">
        <v>17</v>
      </c>
      <c r="M300" s="40">
        <f t="shared" si="8"/>
        <v>1</v>
      </c>
      <c r="N300" s="40">
        <f t="shared" si="9"/>
        <v>1</v>
      </c>
    </row>
    <row r="301" spans="1:14" ht="16" x14ac:dyDescent="0.2">
      <c r="A301" s="40">
        <v>300</v>
      </c>
      <c r="B301" s="40" t="s">
        <v>14</v>
      </c>
      <c r="C301" s="40">
        <v>11.1</v>
      </c>
      <c r="D301" s="40" t="s">
        <v>16</v>
      </c>
      <c r="E301" s="40" t="s">
        <v>17</v>
      </c>
      <c r="F301" s="40" t="s">
        <v>20</v>
      </c>
      <c r="G301" s="40" t="s">
        <v>22</v>
      </c>
      <c r="H301" s="40" t="s">
        <v>16</v>
      </c>
      <c r="I301" s="40">
        <v>5</v>
      </c>
      <c r="J301" s="40" t="s">
        <v>31</v>
      </c>
      <c r="K301" s="40" t="s">
        <v>45</v>
      </c>
      <c r="L301" s="40">
        <v>12</v>
      </c>
      <c r="M301" s="40">
        <f t="shared" si="8"/>
        <v>0</v>
      </c>
      <c r="N301" s="40">
        <f t="shared" si="9"/>
        <v>1</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A178-4021-B240-9EF9-06664D88D6A1}">
  <sheetPr codeName="Sheet2"/>
  <dimension ref="A4:H30"/>
  <sheetViews>
    <sheetView showGridLines="0" topLeftCell="A3" zoomScale="80" zoomScaleNormal="80" workbookViewId="0">
      <selection activeCell="F31" sqref="F31"/>
    </sheetView>
  </sheetViews>
  <sheetFormatPr baseColWidth="10" defaultColWidth="30.83203125" defaultRowHeight="26" x14ac:dyDescent="0.3"/>
  <cols>
    <col min="1" max="1" width="32" style="19" bestFit="1" customWidth="1"/>
    <col min="2" max="2" width="22.33203125" style="16" bestFit="1" customWidth="1"/>
    <col min="3" max="3" width="21.5" style="17" bestFit="1" customWidth="1"/>
    <col min="4" max="4" width="16" style="18" bestFit="1" customWidth="1"/>
    <col min="5" max="5" width="34" style="18" bestFit="1" customWidth="1"/>
    <col min="6" max="6" width="20.33203125" style="12" customWidth="1"/>
    <col min="7" max="7" width="18.33203125" style="30" customWidth="1"/>
    <col min="8" max="8" width="19.5" style="30" customWidth="1"/>
    <col min="9" max="9" width="20.83203125" style="12" customWidth="1"/>
    <col min="10" max="10" width="18" style="12" customWidth="1"/>
    <col min="11" max="16384" width="30.83203125" style="12"/>
  </cols>
  <sheetData>
    <row r="4" spans="1:8" x14ac:dyDescent="0.3">
      <c r="A4" s="32" t="s">
        <v>1</v>
      </c>
      <c r="B4" s="24" t="s">
        <v>50</v>
      </c>
      <c r="C4" s="25" t="s">
        <v>53</v>
      </c>
      <c r="D4" s="26" t="s">
        <v>49</v>
      </c>
      <c r="E4" s="26" t="s">
        <v>56</v>
      </c>
      <c r="F4" s="13"/>
      <c r="G4" s="28" t="s">
        <v>54</v>
      </c>
      <c r="H4" s="31" t="s">
        <v>55</v>
      </c>
    </row>
    <row r="5" spans="1:8" x14ac:dyDescent="0.3">
      <c r="A5" s="33" t="s">
        <v>13</v>
      </c>
      <c r="B5" s="20">
        <v>9</v>
      </c>
      <c r="C5" s="21">
        <v>61</v>
      </c>
      <c r="D5" s="22">
        <v>69</v>
      </c>
      <c r="E5" s="23">
        <v>3.6086956521739131</v>
      </c>
      <c r="F5" s="14"/>
      <c r="G5" s="29">
        <f>IFERROR(B5/D5,"")</f>
        <v>0.13043478260869565</v>
      </c>
      <c r="H5" s="27">
        <f>IFERROR(C5/D5, "")</f>
        <v>0.88405797101449279</v>
      </c>
    </row>
    <row r="6" spans="1:8" x14ac:dyDescent="0.3">
      <c r="A6" s="33" t="s">
        <v>12</v>
      </c>
      <c r="B6" s="20">
        <v>13</v>
      </c>
      <c r="C6" s="21">
        <v>55</v>
      </c>
      <c r="D6" s="22">
        <v>87</v>
      </c>
      <c r="E6" s="23">
        <v>3.735632183908046</v>
      </c>
      <c r="F6" s="14"/>
      <c r="G6" s="29">
        <f t="shared" ref="G6:G8" si="0">IFERROR(B6/D6,"")</f>
        <v>0.14942528735632185</v>
      </c>
      <c r="H6" s="27">
        <f>IFERROR(C6/D6, "")</f>
        <v>0.63218390804597702</v>
      </c>
    </row>
    <row r="7" spans="1:8" x14ac:dyDescent="0.3">
      <c r="A7" s="33" t="s">
        <v>14</v>
      </c>
      <c r="B7" s="20">
        <v>27</v>
      </c>
      <c r="C7" s="21">
        <v>58</v>
      </c>
      <c r="D7" s="22">
        <v>77</v>
      </c>
      <c r="E7" s="23">
        <v>3.8961038961038961</v>
      </c>
      <c r="F7" s="14"/>
      <c r="G7" s="29">
        <f t="shared" si="0"/>
        <v>0.35064935064935066</v>
      </c>
      <c r="H7" s="27">
        <f t="shared" ref="H7:H8" si="1">IFERROR(C7/D7, "")</f>
        <v>0.75324675324675328</v>
      </c>
    </row>
    <row r="8" spans="1:8" x14ac:dyDescent="0.3">
      <c r="A8" s="33" t="s">
        <v>15</v>
      </c>
      <c r="B8" s="20">
        <v>11</v>
      </c>
      <c r="C8" s="21">
        <v>47</v>
      </c>
      <c r="D8" s="22">
        <v>67</v>
      </c>
      <c r="E8" s="23">
        <v>3.716417910447761</v>
      </c>
      <c r="F8" s="14"/>
      <c r="G8" s="29">
        <f t="shared" si="0"/>
        <v>0.16417910447761194</v>
      </c>
      <c r="H8" s="27">
        <f t="shared" si="1"/>
        <v>0.70149253731343286</v>
      </c>
    </row>
    <row r="9" spans="1:8" x14ac:dyDescent="0.3">
      <c r="A9" s="33" t="s">
        <v>48</v>
      </c>
      <c r="B9" s="20">
        <v>60</v>
      </c>
      <c r="C9" s="21">
        <v>221</v>
      </c>
      <c r="D9" s="22">
        <v>300</v>
      </c>
      <c r="E9" s="23">
        <v>3.7433333333333332</v>
      </c>
      <c r="F9" s="15"/>
      <c r="G9" s="29"/>
      <c r="H9" s="27"/>
    </row>
    <row r="11" spans="1:8" x14ac:dyDescent="0.3">
      <c r="A11" s="34" t="s">
        <v>6</v>
      </c>
      <c r="B11" s="20" t="s">
        <v>50</v>
      </c>
      <c r="C11" s="21" t="s">
        <v>53</v>
      </c>
      <c r="D11" s="22" t="s">
        <v>49</v>
      </c>
      <c r="G11" s="28" t="s">
        <v>54</v>
      </c>
      <c r="H11" s="31" t="s">
        <v>55</v>
      </c>
    </row>
    <row r="12" spans="1:8" x14ac:dyDescent="0.3">
      <c r="A12" s="33" t="s">
        <v>22</v>
      </c>
      <c r="B12" s="20">
        <v>18</v>
      </c>
      <c r="C12" s="21">
        <v>70</v>
      </c>
      <c r="D12" s="22">
        <v>97</v>
      </c>
      <c r="G12" s="29">
        <f>IFERROR(B12/D12, "")</f>
        <v>0.18556701030927836</v>
      </c>
      <c r="H12" s="27">
        <f>IFERROR(C12/D12, "")</f>
        <v>0.72164948453608246</v>
      </c>
    </row>
    <row r="13" spans="1:8" x14ac:dyDescent="0.3">
      <c r="A13" s="33" t="s">
        <v>23</v>
      </c>
      <c r="B13" s="20">
        <v>36</v>
      </c>
      <c r="C13" s="21">
        <v>135</v>
      </c>
      <c r="D13" s="22">
        <v>178</v>
      </c>
      <c r="G13" s="29">
        <f>IFERROR(B13/D13, "")</f>
        <v>0.20224719101123595</v>
      </c>
      <c r="H13" s="27">
        <f>IFERROR(C13/D13, "")</f>
        <v>0.7584269662921348</v>
      </c>
    </row>
    <row r="14" spans="1:8" x14ac:dyDescent="0.3">
      <c r="A14" s="33" t="s">
        <v>24</v>
      </c>
      <c r="B14" s="20">
        <v>6</v>
      </c>
      <c r="C14" s="21">
        <v>16</v>
      </c>
      <c r="D14" s="22">
        <v>25</v>
      </c>
      <c r="G14" s="29">
        <f>IFERROR(B14/D14, "")</f>
        <v>0.24</v>
      </c>
      <c r="H14" s="27">
        <f>IFERROR(C14/D14, "")</f>
        <v>0.64</v>
      </c>
    </row>
    <row r="15" spans="1:8" x14ac:dyDescent="0.3">
      <c r="A15" s="33" t="s">
        <v>48</v>
      </c>
      <c r="B15" s="20">
        <v>60</v>
      </c>
      <c r="C15" s="21">
        <v>221</v>
      </c>
      <c r="D15" s="22">
        <v>300</v>
      </c>
      <c r="F15" s="13"/>
      <c r="G15" s="29"/>
      <c r="H15" s="27"/>
    </row>
    <row r="17" spans="1:8" x14ac:dyDescent="0.3">
      <c r="A17" s="35" t="s">
        <v>11</v>
      </c>
      <c r="B17" s="20" t="s">
        <v>50</v>
      </c>
      <c r="C17" s="21" t="s">
        <v>53</v>
      </c>
      <c r="D17" s="22" t="s">
        <v>49</v>
      </c>
      <c r="G17" s="28" t="s">
        <v>54</v>
      </c>
      <c r="H17" s="31" t="s">
        <v>55</v>
      </c>
    </row>
    <row r="18" spans="1:8" x14ac:dyDescent="0.3">
      <c r="A18" s="36">
        <v>8</v>
      </c>
      <c r="B18" s="37">
        <v>3</v>
      </c>
      <c r="C18" s="38">
        <v>11</v>
      </c>
      <c r="D18" s="39">
        <v>18</v>
      </c>
      <c r="G18" s="29">
        <f t="shared" ref="G18:G29" si="2">IFERROR(B18/D18, "")</f>
        <v>0.16666666666666666</v>
      </c>
      <c r="H18" s="27">
        <f t="shared" ref="H18:H29" si="3">IFERROR(C18/D18, "")</f>
        <v>0.61111111111111116</v>
      </c>
    </row>
    <row r="19" spans="1:8" x14ac:dyDescent="0.3">
      <c r="A19" s="36">
        <v>9</v>
      </c>
      <c r="B19" s="37">
        <v>5</v>
      </c>
      <c r="C19" s="38">
        <v>25</v>
      </c>
      <c r="D19" s="39">
        <v>33</v>
      </c>
      <c r="G19" s="29">
        <f t="shared" si="2"/>
        <v>0.15151515151515152</v>
      </c>
      <c r="H19" s="27">
        <f t="shared" si="3"/>
        <v>0.75757575757575757</v>
      </c>
    </row>
    <row r="20" spans="1:8" x14ac:dyDescent="0.3">
      <c r="A20" s="36">
        <v>10</v>
      </c>
      <c r="B20" s="37">
        <v>8</v>
      </c>
      <c r="C20" s="38">
        <v>16</v>
      </c>
      <c r="D20" s="39">
        <v>20</v>
      </c>
      <c r="G20" s="29">
        <f t="shared" si="2"/>
        <v>0.4</v>
      </c>
      <c r="H20" s="27">
        <f t="shared" si="3"/>
        <v>0.8</v>
      </c>
    </row>
    <row r="21" spans="1:8" x14ac:dyDescent="0.3">
      <c r="A21" s="36">
        <v>11</v>
      </c>
      <c r="B21" s="37">
        <v>8</v>
      </c>
      <c r="C21" s="38">
        <v>22</v>
      </c>
      <c r="D21" s="39">
        <v>35</v>
      </c>
      <c r="G21" s="29">
        <f t="shared" si="2"/>
        <v>0.22857142857142856</v>
      </c>
      <c r="H21" s="27">
        <f t="shared" si="3"/>
        <v>0.62857142857142856</v>
      </c>
    </row>
    <row r="22" spans="1:8" x14ac:dyDescent="0.3">
      <c r="A22" s="36">
        <v>12</v>
      </c>
      <c r="B22" s="37">
        <v>6</v>
      </c>
      <c r="C22" s="38">
        <v>18</v>
      </c>
      <c r="D22" s="39">
        <v>26</v>
      </c>
      <c r="G22" s="29">
        <f t="shared" si="2"/>
        <v>0.23076923076923078</v>
      </c>
      <c r="H22" s="27">
        <f t="shared" si="3"/>
        <v>0.69230769230769229</v>
      </c>
    </row>
    <row r="23" spans="1:8" x14ac:dyDescent="0.3">
      <c r="A23" s="36">
        <v>13</v>
      </c>
      <c r="B23" s="37">
        <v>6</v>
      </c>
      <c r="C23" s="38">
        <v>22</v>
      </c>
      <c r="D23" s="39">
        <v>27</v>
      </c>
      <c r="G23" s="29">
        <f t="shared" si="2"/>
        <v>0.22222222222222221</v>
      </c>
      <c r="H23" s="27">
        <f t="shared" si="3"/>
        <v>0.81481481481481477</v>
      </c>
    </row>
    <row r="24" spans="1:8" x14ac:dyDescent="0.3">
      <c r="A24" s="36">
        <v>14</v>
      </c>
      <c r="B24" s="37">
        <v>6</v>
      </c>
      <c r="C24" s="38">
        <v>17</v>
      </c>
      <c r="D24" s="39">
        <v>20</v>
      </c>
      <c r="G24" s="29">
        <f t="shared" si="2"/>
        <v>0.3</v>
      </c>
      <c r="H24" s="27">
        <f t="shared" si="3"/>
        <v>0.85</v>
      </c>
    </row>
    <row r="25" spans="1:8" x14ac:dyDescent="0.3">
      <c r="A25" s="36">
        <v>15</v>
      </c>
      <c r="B25" s="37">
        <v>3</v>
      </c>
      <c r="C25" s="38">
        <v>21</v>
      </c>
      <c r="D25" s="39">
        <v>29</v>
      </c>
      <c r="G25" s="29">
        <f t="shared" si="2"/>
        <v>0.10344827586206896</v>
      </c>
      <c r="H25" s="27">
        <f t="shared" si="3"/>
        <v>0.72413793103448276</v>
      </c>
    </row>
    <row r="26" spans="1:8" x14ac:dyDescent="0.3">
      <c r="A26" s="36">
        <v>16</v>
      </c>
      <c r="B26" s="37">
        <v>4</v>
      </c>
      <c r="C26" s="38">
        <v>20</v>
      </c>
      <c r="D26" s="39">
        <v>24</v>
      </c>
      <c r="G26" s="29">
        <f t="shared" si="2"/>
        <v>0.16666666666666666</v>
      </c>
      <c r="H26" s="27">
        <f t="shared" si="3"/>
        <v>0.83333333333333337</v>
      </c>
    </row>
    <row r="27" spans="1:8" x14ac:dyDescent="0.3">
      <c r="A27" s="36">
        <v>17</v>
      </c>
      <c r="B27" s="37">
        <v>4</v>
      </c>
      <c r="C27" s="38">
        <v>15</v>
      </c>
      <c r="D27" s="39">
        <v>22</v>
      </c>
      <c r="G27" s="29">
        <f t="shared" si="2"/>
        <v>0.18181818181818182</v>
      </c>
      <c r="H27" s="27">
        <f t="shared" si="3"/>
        <v>0.68181818181818177</v>
      </c>
    </row>
    <row r="28" spans="1:8" x14ac:dyDescent="0.3">
      <c r="A28" s="36">
        <v>18</v>
      </c>
      <c r="B28" s="37">
        <v>4</v>
      </c>
      <c r="C28" s="38">
        <v>19</v>
      </c>
      <c r="D28" s="39">
        <v>24</v>
      </c>
      <c r="G28" s="29">
        <f t="shared" si="2"/>
        <v>0.16666666666666666</v>
      </c>
      <c r="H28" s="27">
        <f t="shared" si="3"/>
        <v>0.79166666666666663</v>
      </c>
    </row>
    <row r="29" spans="1:8" x14ac:dyDescent="0.3">
      <c r="A29" s="36">
        <v>19</v>
      </c>
      <c r="B29" s="37">
        <v>3</v>
      </c>
      <c r="C29" s="38">
        <v>15</v>
      </c>
      <c r="D29" s="39">
        <v>22</v>
      </c>
      <c r="G29" s="29">
        <f t="shared" si="2"/>
        <v>0.13636363636363635</v>
      </c>
      <c r="H29" s="27">
        <f t="shared" si="3"/>
        <v>0.68181818181818177</v>
      </c>
    </row>
    <row r="30" spans="1:8" x14ac:dyDescent="0.3">
      <c r="A30" s="36" t="s">
        <v>48</v>
      </c>
      <c r="B30" s="37">
        <v>60</v>
      </c>
      <c r="C30" s="38">
        <v>221</v>
      </c>
      <c r="D30" s="39">
        <v>300</v>
      </c>
      <c r="F30" s="13"/>
      <c r="G30" s="29"/>
      <c r="H30" s="27"/>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D9B6-0705-E842-B8F4-31BA19B1865C}">
  <sheetPr codeName="Sheet3"/>
  <dimension ref="B1:N8"/>
  <sheetViews>
    <sheetView showGridLines="0" showRowColHeaders="0" topLeftCell="B3" zoomScale="39" zoomScaleNormal="40" workbookViewId="0">
      <selection activeCell="AL74" sqref="AL74"/>
    </sheetView>
  </sheetViews>
  <sheetFormatPr baseColWidth="10" defaultRowHeight="20" x14ac:dyDescent="0.25"/>
  <cols>
    <col min="1" max="1" width="10.83203125" style="2"/>
    <col min="2" max="2" width="19" style="6" customWidth="1"/>
    <col min="3" max="3" width="20" style="2" customWidth="1"/>
    <col min="4" max="4" width="15.6640625" style="2" customWidth="1"/>
    <col min="5" max="5" width="16.83203125" style="2" customWidth="1"/>
    <col min="6" max="13" width="10.83203125" style="2"/>
    <col min="14" max="14" width="18.33203125" style="2" customWidth="1"/>
    <col min="15" max="15" width="24.33203125" style="2" customWidth="1"/>
    <col min="16" max="16384" width="10.83203125" style="2"/>
  </cols>
  <sheetData>
    <row r="1" spans="2:14" x14ac:dyDescent="0.25">
      <c r="B1" s="7" t="str">
        <f>'Pivot Summary'!A4</f>
        <v>Department</v>
      </c>
      <c r="C1" s="7" t="s">
        <v>57</v>
      </c>
      <c r="D1" s="7" t="s">
        <v>54</v>
      </c>
      <c r="E1" s="7" t="s">
        <v>55</v>
      </c>
      <c r="N1" s="3"/>
    </row>
    <row r="2" spans="2:14" ht="23" customHeight="1" x14ac:dyDescent="0.25">
      <c r="B2" s="8" t="str">
        <f>'Pivot Summary'!A5</f>
        <v>Card Services</v>
      </c>
      <c r="C2" s="9">
        <f>GETPIVOTDATA("Avg Satisfaction Score",'Pivot Summary'!$A$4,"Department","Card Services")/5</f>
        <v>0.72173913043478266</v>
      </c>
      <c r="D2" s="10">
        <f>'Pivot Summary'!G5</f>
        <v>0.13043478260869565</v>
      </c>
      <c r="E2" s="10">
        <f>'Pivot Summary'!H5</f>
        <v>0.88405797101449279</v>
      </c>
    </row>
    <row r="3" spans="2:14" x14ac:dyDescent="0.25">
      <c r="B3" s="11" t="str">
        <f>'Pivot Summary'!A6</f>
        <v>Fraud</v>
      </c>
      <c r="C3" s="9">
        <f>GETPIVOTDATA("Avg Satisfaction Score",'Pivot Summary'!$A$4,"Department","Fraud")/5</f>
        <v>0.74712643678160917</v>
      </c>
      <c r="D3" s="10">
        <f>'Pivot Summary'!G6</f>
        <v>0.14942528735632185</v>
      </c>
      <c r="E3" s="10">
        <f>'Pivot Summary'!H6</f>
        <v>0.63218390804597702</v>
      </c>
    </row>
    <row r="4" spans="2:14" x14ac:dyDescent="0.25">
      <c r="B4" s="11" t="str">
        <f>'Pivot Summary'!A7</f>
        <v>Loans</v>
      </c>
      <c r="C4" s="9">
        <f>GETPIVOTDATA("Avg Satisfaction Score",'Pivot Summary'!$A$4,"Department","Loans")/5</f>
        <v>0.77922077922077926</v>
      </c>
      <c r="D4" s="10">
        <f>'Pivot Summary'!G7</f>
        <v>0.35064935064935066</v>
      </c>
      <c r="E4" s="10">
        <f>'Pivot Summary'!H7</f>
        <v>0.75324675324675328</v>
      </c>
    </row>
    <row r="5" spans="2:14" x14ac:dyDescent="0.25">
      <c r="B5" s="11" t="str">
        <f>'Pivot Summary'!A8</f>
        <v>Payments</v>
      </c>
      <c r="C5" s="9">
        <f>GETPIVOTDATA("Avg Satisfaction Score",'Pivot Summary'!$A$4,"Department","Payments")/5</f>
        <v>0.74328358208955225</v>
      </c>
      <c r="D5" s="10">
        <f>'Pivot Summary'!G8</f>
        <v>0.16417910447761194</v>
      </c>
      <c r="E5" s="10">
        <f>'Pivot Summary'!H8</f>
        <v>0.70149253731343286</v>
      </c>
    </row>
    <row r="8" spans="2:14" x14ac:dyDescent="0.25">
      <c r="E8" s="1"/>
    </row>
  </sheetData>
  <conditionalFormatting sqref="E8">
    <cfRule type="dataBar" priority="1">
      <dataBar>
        <cfvo type="min"/>
        <cfvo type="max"/>
        <color rgb="FF638EC6"/>
      </dataBar>
      <extLst>
        <ext xmlns:x14="http://schemas.microsoft.com/office/spreadsheetml/2009/9/main" uri="{B025F937-C7B1-47D3-B67F-A62EFF666E3E}">
          <x14:id>{9CEC517A-87A8-3B47-ACD1-570C16976C08}</x14:id>
        </ext>
      </extLst>
    </cfRule>
  </conditionalFormatting>
  <pageMargins left="0.7" right="0.7" top="0.75" bottom="0.75" header="0.3" footer="0.3"/>
  <pageSetup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9CEC517A-87A8-3B47-ACD1-570C16976C08}">
            <x14:dataBar minLength="0" maxLength="100" border="1" negativeBarBorderColorSameAsPositive="0">
              <x14:cfvo type="autoMin"/>
              <x14:cfvo type="autoMax"/>
              <x14:borderColor rgb="FF638EC6"/>
              <x14:negativeFillColor rgb="FFFF0000"/>
              <x14:negativeBorderColor rgb="FFFF0000"/>
              <x14:axisColor rgb="FF000000"/>
            </x14:dataBar>
          </x14:cfRule>
          <xm:sqref>E8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Call Data</vt:lpstr>
      <vt:lpstr>Pivot Summary</vt:lpstr>
      <vt:lpstr>Interactive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An Tam Kha</cp:lastModifiedBy>
  <dcterms:created xsi:type="dcterms:W3CDTF">2025-03-26T05:18:14Z</dcterms:created>
  <dcterms:modified xsi:type="dcterms:W3CDTF">2026-01-27T00:31:04Z</dcterms:modified>
</cp:coreProperties>
</file>